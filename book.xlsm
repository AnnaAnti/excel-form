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79672\Downloads\excel-form\"/>
    </mc:Choice>
  </mc:AlternateContent>
  <xr:revisionPtr revIDLastSave="0" documentId="13_ncr:1_{6A71693B-A35A-4BC5-8756-1448A715160A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Лист2" sheetId="1" state="hidden" r:id="rId1"/>
    <sheet name="Лист1" sheetId="2" state="hidden" r:id="rId2"/>
    <sheet name="смета" sheetId="3" r:id="rId3"/>
    <sheet name="прогр" sheetId="4" r:id="rId4"/>
    <sheet name="АО" sheetId="5" r:id="rId5"/>
    <sheet name="акт" sheetId="6" r:id="rId6"/>
    <sheet name="отчет" sheetId="7" r:id="rId7"/>
  </sheets>
  <functionGroups builtInGroupCount="19"/>
  <definedNames>
    <definedName name="_Hlk171081625" localSheetId="5">акт!#REF!</definedName>
    <definedName name="_xlnm.Print_Area" localSheetId="5">акт!$A$1:$H$43</definedName>
    <definedName name="_xlnm.Print_Area" localSheetId="0">Лист2!$A$1:$F$51</definedName>
    <definedName name="_xlnm.Print_Area" localSheetId="3">прогр!$A$1:$H$32</definedName>
    <definedName name="_xlnm.Print_Area" localSheetId="2">смета!$A$1:$H$33</definedName>
  </definedNames>
  <calcPr calcId="191029"/>
</workbook>
</file>

<file path=xl/calcChain.xml><?xml version="1.0" encoding="utf-8"?>
<calcChain xmlns="http://schemas.openxmlformats.org/spreadsheetml/2006/main">
  <c r="F35" i="7" l="1"/>
  <c r="B33" i="7"/>
  <c r="B32" i="7"/>
  <c r="A27" i="7"/>
  <c r="A24" i="7"/>
  <c r="A22" i="7"/>
  <c r="F19" i="7"/>
  <c r="B19" i="7"/>
  <c r="F18" i="7"/>
  <c r="B18" i="7"/>
  <c r="F17" i="7"/>
  <c r="B17" i="7"/>
  <c r="F16" i="7"/>
  <c r="B16" i="7"/>
  <c r="F15" i="7"/>
  <c r="D12" i="7"/>
  <c r="D11" i="7"/>
  <c r="E9" i="7"/>
  <c r="F3" i="7"/>
  <c r="F2" i="7"/>
  <c r="B41" i="6"/>
  <c r="B39" i="6"/>
  <c r="B36" i="6"/>
  <c r="F23" i="6"/>
  <c r="B23" i="6"/>
  <c r="A23" i="6"/>
  <c r="B22" i="6"/>
  <c r="A22" i="6"/>
  <c r="A20" i="6"/>
  <c r="A18" i="6"/>
  <c r="F3" i="6"/>
  <c r="F2" i="6"/>
  <c r="AI71" i="5"/>
  <c r="Y69" i="5"/>
  <c r="Y68" i="5"/>
  <c r="P68" i="5"/>
  <c r="K68" i="5"/>
  <c r="F68" i="5"/>
  <c r="Y67" i="5"/>
  <c r="P67" i="5"/>
  <c r="K67" i="5"/>
  <c r="F67" i="5"/>
  <c r="Y66" i="5"/>
  <c r="P66" i="5"/>
  <c r="K66" i="5"/>
  <c r="F66" i="5"/>
  <c r="Y65" i="5"/>
  <c r="H23" i="6" s="1"/>
  <c r="K65" i="5"/>
  <c r="F65" i="5"/>
  <c r="G23" i="6" s="1"/>
  <c r="Y64" i="5"/>
  <c r="H22" i="6" s="1"/>
  <c r="H24" i="6" s="1"/>
  <c r="P64" i="5"/>
  <c r="E22" i="6" s="1"/>
  <c r="K64" i="5"/>
  <c r="F22" i="6" s="1"/>
  <c r="F64" i="5"/>
  <c r="G22" i="6" s="1"/>
  <c r="F29" i="4"/>
  <c r="B26" i="4"/>
  <c r="A26" i="4"/>
  <c r="D25" i="4"/>
  <c r="A23" i="7" s="1"/>
  <c r="B25" i="4"/>
  <c r="A25" i="4"/>
  <c r="B24" i="4"/>
  <c r="A24" i="4"/>
  <c r="F19" i="4"/>
  <c r="A19" i="4"/>
  <c r="F18" i="4"/>
  <c r="A18" i="4"/>
  <c r="F17" i="4"/>
  <c r="A17" i="4"/>
  <c r="F16" i="4"/>
  <c r="A16" i="4"/>
  <c r="F15" i="4"/>
  <c r="D13" i="4"/>
  <c r="D12" i="4"/>
  <c r="D11" i="4"/>
  <c r="D10" i="4"/>
  <c r="F3" i="4"/>
  <c r="F2" i="4"/>
  <c r="H27" i="3"/>
  <c r="D26" i="3"/>
  <c r="H24" i="3"/>
  <c r="D21" i="3"/>
  <c r="B19" i="3"/>
  <c r="G18" i="3"/>
  <c r="B18" i="3"/>
  <c r="B17" i="3"/>
  <c r="G16" i="3"/>
  <c r="B16" i="3"/>
  <c r="B15" i="3"/>
  <c r="D12" i="3"/>
  <c r="D11" i="3"/>
  <c r="D10" i="3"/>
  <c r="F3" i="3"/>
  <c r="F2" i="3"/>
  <c r="B29" i="1"/>
  <c r="F5" i="4" s="1"/>
  <c r="C26" i="1"/>
  <c r="G20" i="3" s="1"/>
  <c r="B21" i="3" s="1"/>
  <c r="C25" i="1"/>
  <c r="G19" i="3" s="1"/>
  <c r="C24" i="1"/>
  <c r="C23" i="1"/>
  <c r="G17" i="3" s="1"/>
  <c r="C21" i="1"/>
  <c r="G15" i="3" s="1"/>
  <c r="B18" i="1"/>
  <c r="A14" i="1"/>
  <c r="A29" i="7" s="1"/>
  <c r="B10" i="1"/>
  <c r="P65" i="5" s="1"/>
  <c r="E23" i="6" s="1"/>
  <c r="C6" i="1"/>
  <c r="C5" i="1"/>
  <c r="D24" i="3" s="1"/>
  <c r="B4" i="1"/>
  <c r="F5" i="7" s="1"/>
  <c r="A33" i="6" l="1"/>
  <c r="A29" i="6"/>
  <c r="A32" i="6" s="1"/>
  <c r="A29" i="3"/>
  <c r="F5" i="3" s="1"/>
  <c r="A15" i="4"/>
  <c r="B15" i="7"/>
  <c r="G9" i="6"/>
</calcChain>
</file>

<file path=xl/sharedStrings.xml><?xml version="1.0" encoding="utf-8"?>
<sst xmlns="http://schemas.openxmlformats.org/spreadsheetml/2006/main" count="297" uniqueCount="224">
  <si>
    <t>УТВЕРЖДАЮ</t>
  </si>
  <si>
    <t>должность</t>
  </si>
  <si>
    <t>Заместитель Генерального директора по экономике и финансам</t>
  </si>
  <si>
    <t>ФИО</t>
  </si>
  <si>
    <t>Акакин Д.В.</t>
  </si>
  <si>
    <t>дата АО (+3дня к чеку) не ранее 28.08.24</t>
  </si>
  <si>
    <t>Владелец карты</t>
  </si>
  <si>
    <t>Савин В.О.</t>
  </si>
  <si>
    <t>Составил</t>
  </si>
  <si>
    <t>Мищенко Н.А.</t>
  </si>
  <si>
    <t>Авансовый отчет</t>
  </si>
  <si>
    <t>Сумма</t>
  </si>
  <si>
    <t>Ресторан</t>
  </si>
  <si>
    <t>Номер</t>
  </si>
  <si>
    <t>Дата</t>
  </si>
  <si>
    <t>Время указывать только целое число (8,00; 15,00 и т.п.)</t>
  </si>
  <si>
    <t>макдак</t>
  </si>
  <si>
    <t>123</t>
  </si>
  <si>
    <t>10.10.25</t>
  </si>
  <si>
    <t>111</t>
  </si>
  <si>
    <t>СУММА ПРОПИСЬЮ!</t>
  </si>
  <si>
    <t>три тысячи пятьсот рублей рублей 00 копеек</t>
  </si>
  <si>
    <t>СМЕТА</t>
  </si>
  <si>
    <t xml:space="preserve">Место проведения: г. </t>
  </si>
  <si>
    <t>М., тверская ,2</t>
  </si>
  <si>
    <t xml:space="preserve">Кол-во участников: </t>
  </si>
  <si>
    <t xml:space="preserve">Наименование представительских расходов </t>
  </si>
  <si>
    <t>Предельная сумма, руб.</t>
  </si>
  <si>
    <t>организация деловой встречи</t>
  </si>
  <si>
    <t>-</t>
  </si>
  <si>
    <t>буфетное обслуживание во время переговоров</t>
  </si>
  <si>
    <t>оплату услуг переводчиков</t>
  </si>
  <si>
    <t>услуги по организации и проведению мероприятия</t>
  </si>
  <si>
    <t xml:space="preserve">буфетное обслуживание </t>
  </si>
  <si>
    <t>четыре тысячи рублей 00 копеек</t>
  </si>
  <si>
    <t xml:space="preserve">сувенирная продукция </t>
  </si>
  <si>
    <t>Дата сметы</t>
  </si>
  <si>
    <t>На день раньше даты  чека</t>
  </si>
  <si>
    <t>доставка</t>
  </si>
  <si>
    <t>ПРОГРАММА</t>
  </si>
  <si>
    <t>Выходные</t>
  </si>
  <si>
    <t>компания участник</t>
  </si>
  <si>
    <t>РОССЕТИ</t>
  </si>
  <si>
    <t xml:space="preserve">Цель проведения: </t>
  </si>
  <si>
    <t>ВСТРЕЧА</t>
  </si>
  <si>
    <t>Участники только гости (ФИО)</t>
  </si>
  <si>
    <t>Участники только гости(должность)</t>
  </si>
  <si>
    <t>Тема</t>
  </si>
  <si>
    <t>Иванова И,А.</t>
  </si>
  <si>
    <t>директор</t>
  </si>
  <si>
    <t>ДОГОВОР</t>
  </si>
  <si>
    <t>ОТЧЕТ</t>
  </si>
  <si>
    <t>Итоги встречи</t>
  </si>
  <si>
    <t>СОТРУДНИЧЕСТВО</t>
  </si>
  <si>
    <t>CardOwner</t>
  </si>
  <si>
    <t>Акакина Д.В.</t>
  </si>
  <si>
    <t>Акакиным Д.В.</t>
  </si>
  <si>
    <t>Заместителя Генерального директора по экономике и финансам</t>
  </si>
  <si>
    <t>Заместителем Генерального директора по экономике и финансам</t>
  </si>
  <si>
    <t>Архипов А.Г.</t>
  </si>
  <si>
    <t>Архипова А.Г.</t>
  </si>
  <si>
    <t>Архиповым А.Г.</t>
  </si>
  <si>
    <t>Генеральный директор</t>
  </si>
  <si>
    <t>Генерального директора</t>
  </si>
  <si>
    <t>Генеральным директором</t>
  </si>
  <si>
    <t>Дядина Г.В.</t>
  </si>
  <si>
    <t>Дядиной Г.В.</t>
  </si>
  <si>
    <t xml:space="preserve">Заместитель Генерального директора по ИТ и инновациям – Технический директор  </t>
  </si>
  <si>
    <t>Заместителя Генерального директора по ИТ и инновациям – Технического директора</t>
  </si>
  <si>
    <t>Заместителем Генерального директора по ИТ и инновациям – Техническим директором</t>
  </si>
  <si>
    <t>Савина В.О.</t>
  </si>
  <si>
    <t>Савиным В.О.</t>
  </si>
  <si>
    <t>Заместитель Генерального директора – Руководитель Аппарата</t>
  </si>
  <si>
    <t>Заместителя Генерального директора – Руководителя Аппарата</t>
  </si>
  <si>
    <t>Заместителем Генерального директора – Руководителем Аппарата</t>
  </si>
  <si>
    <t>Рукосуев С.С.</t>
  </si>
  <si>
    <t>Рукосуева С.С.</t>
  </si>
  <si>
    <t>Рукосуевым С.С.</t>
  </si>
  <si>
    <t>Заместитель Генерального директора по продуктам и сервисам</t>
  </si>
  <si>
    <t>Заместителя Генерального директора по продуктам и сервисам</t>
  </si>
  <si>
    <t>Заместителем Генерального директора по продуктам и сервисам</t>
  </si>
  <si>
    <t>Assistants</t>
  </si>
  <si>
    <t>Дмитриева А.П.</t>
  </si>
  <si>
    <t>Руководитель группы</t>
  </si>
  <si>
    <t>Руководитель направления контроля за исполнением отдельных поручений </t>
  </si>
  <si>
    <t>Лемтюгова К.С.</t>
  </si>
  <si>
    <t xml:space="preserve">Главный специалист    </t>
  </si>
  <si>
    <t>Мартюшова С.Н.</t>
  </si>
  <si>
    <t xml:space="preserve">СМЕТА </t>
  </si>
  <si>
    <t>на официальную встречу и проведение переговоров</t>
  </si>
  <si>
    <t xml:space="preserve">Место проведения: </t>
  </si>
  <si>
    <t>Дата проведения: с</t>
  </si>
  <si>
    <t>№ п/п</t>
  </si>
  <si>
    <t xml:space="preserve">Наименование представительских расходов  </t>
  </si>
  <si>
    <t xml:space="preserve">                                                                                   ИТОГО:</t>
  </si>
  <si>
    <t>Итого:</t>
  </si>
  <si>
    <t>Ответственный за использование средств на представительские расходы:</t>
  </si>
  <si>
    <t>(должность)</t>
  </si>
  <si>
    <t xml:space="preserve">(подпись) </t>
  </si>
  <si>
    <t>(ФИО)</t>
  </si>
  <si>
    <t>Смету составил:</t>
  </si>
  <si>
    <t xml:space="preserve">ПРОГРАММА </t>
  </si>
  <si>
    <t xml:space="preserve">проведения официальной встречи </t>
  </si>
  <si>
    <t>С представителями:</t>
  </si>
  <si>
    <t xml:space="preserve">Дата проведения: </t>
  </si>
  <si>
    <t>Участники встречи:</t>
  </si>
  <si>
    <t>Программа мероприятий и перечень обсуждаемых вопросов:</t>
  </si>
  <si>
    <t>Время</t>
  </si>
  <si>
    <t>Встреча с партнерами</t>
  </si>
  <si>
    <t>Подведение итогов переговоров</t>
  </si>
  <si>
    <t>Ответственное лицо за проведение мероприятия:</t>
  </si>
  <si>
    <t>Приложение 50
к Перечню форм первичных учетных документов</t>
  </si>
  <si>
    <t>Форма № АО-1</t>
  </si>
  <si>
    <t>утверждена приказом АО "Управление ВОЛС-ВЛ"</t>
  </si>
  <si>
    <t>от 29.12.2017 № 188</t>
  </si>
  <si>
    <t>АО "Управление ВОЛС-ВЛ"</t>
  </si>
  <si>
    <t>Отчет в сумме</t>
  </si>
  <si>
    <t>руб.</t>
  </si>
  <si>
    <t>коп.</t>
  </si>
  <si>
    <t>Руководитель</t>
  </si>
  <si>
    <t>АВАНСОВЫЙ ОТЧЕТ</t>
  </si>
  <si>
    <t>(подпись)</t>
  </si>
  <si>
    <t>(расшифровка подписи)</t>
  </si>
  <si>
    <t>«</t>
  </si>
  <si>
    <t>»</t>
  </si>
  <si>
    <t>г.</t>
  </si>
  <si>
    <t>Код</t>
  </si>
  <si>
    <t>Структурное подразделение</t>
  </si>
  <si>
    <t>Подотчетное лицо</t>
  </si>
  <si>
    <t>Табельный номер</t>
  </si>
  <si>
    <t>(фамилия, инициалы)</t>
  </si>
  <si>
    <t>Профессия (должность)</t>
  </si>
  <si>
    <t>Назначение аванса</t>
  </si>
  <si>
    <t>Наименование показателя</t>
  </si>
  <si>
    <t>Сумма, руб.коп.</t>
  </si>
  <si>
    <t>Бухгалтерская запись</t>
  </si>
  <si>
    <t xml:space="preserve"> Предыдущий аванс</t>
  </si>
  <si>
    <t>остаток</t>
  </si>
  <si>
    <t>дебет</t>
  </si>
  <si>
    <t>кредит</t>
  </si>
  <si>
    <t>перерасход</t>
  </si>
  <si>
    <t>счет, субсчет</t>
  </si>
  <si>
    <t>сумма, руб.коп.</t>
  </si>
  <si>
    <t xml:space="preserve"> Получен аванс 1. из кассы</t>
  </si>
  <si>
    <t xml:space="preserve"> 1а. в валюте (справочно)</t>
  </si>
  <si>
    <t xml:space="preserve"> 2.</t>
  </si>
  <si>
    <t xml:space="preserve"> Итого получено</t>
  </si>
  <si>
    <t xml:space="preserve"> Израсходовано</t>
  </si>
  <si>
    <t>Остаток</t>
  </si>
  <si>
    <t>Перерасход</t>
  </si>
  <si>
    <t>Приложение</t>
  </si>
  <si>
    <t>документов на</t>
  </si>
  <si>
    <t>листах</t>
  </si>
  <si>
    <t>Отчет проверен. К утверждению в сумме</t>
  </si>
  <si>
    <t>(</t>
  </si>
  <si>
    <t>коп.)</t>
  </si>
  <si>
    <t>(сумма прописью)</t>
  </si>
  <si>
    <t>Главный бухгалтер</t>
  </si>
  <si>
    <t>Бухгалтер</t>
  </si>
  <si>
    <t>Остаток внесен</t>
  </si>
  <si>
    <t>в сумме</t>
  </si>
  <si>
    <t>коп. по кассовому ордеру  №</t>
  </si>
  <si>
    <t>от «</t>
  </si>
  <si>
    <t>Перерасход выдан</t>
  </si>
  <si>
    <t>Бухгалтер (кассир)</t>
  </si>
  <si>
    <t xml:space="preserve"> «</t>
  </si>
  <si>
    <t>л и н и я   о т р е з а</t>
  </si>
  <si>
    <t>Расписка. Принят к проверке от</t>
  </si>
  <si>
    <t>авансовый отчет №</t>
  </si>
  <si>
    <t xml:space="preserve">на сумму </t>
  </si>
  <si>
    <t>коп., количество документов</t>
  </si>
  <si>
    <t>на</t>
  </si>
  <si>
    <t>(прописью)</t>
  </si>
  <si>
    <t>Оборотная сторона формы № АО-1</t>
  </si>
  <si>
    <t>Номер
по порядку</t>
  </si>
  <si>
    <t>Документ, подтверждающий производственные расходы</t>
  </si>
  <si>
    <t>Наименование документа
(расхода)</t>
  </si>
  <si>
    <t>Сумма расхода</t>
  </si>
  <si>
    <t>Дебет счета, субсчета</t>
  </si>
  <si>
    <t>по отчету</t>
  </si>
  <si>
    <t>принятая к учету</t>
  </si>
  <si>
    <t>дата</t>
  </si>
  <si>
    <t>номер</t>
  </si>
  <si>
    <t>в руб. коп.</t>
  </si>
  <si>
    <t>в валюте</t>
  </si>
  <si>
    <t>1</t>
  </si>
  <si>
    <t>2</t>
  </si>
  <si>
    <t>3</t>
  </si>
  <si>
    <t>4</t>
  </si>
  <si>
    <t>5</t>
  </si>
  <si>
    <t xml:space="preserve">Итого </t>
  </si>
  <si>
    <t>___________________</t>
  </si>
  <si>
    <t>АКТ</t>
  </si>
  <si>
    <t xml:space="preserve">о списании затрат на представительские расходы в рамках проведения официальной встречи </t>
  </si>
  <si>
    <t>г. Москва</t>
  </si>
  <si>
    <t>Комиссия в составе:</t>
  </si>
  <si>
    <t>Председатель комиссии</t>
  </si>
  <si>
    <t>Заместитель начальника Департамента управления персоналом</t>
  </si>
  <si>
    <t>Долгих Мария Александровна</t>
  </si>
  <si>
    <t>Член комиссии</t>
  </si>
  <si>
    <t xml:space="preserve">Главный бухгалтер  - начальник Департамента учета и отчетности </t>
  </si>
  <si>
    <t>Чинакова Евгения Александровна</t>
  </si>
  <si>
    <t>Начальник Управления административно-хозяйственного обеспечения</t>
  </si>
  <si>
    <t>Мангушев Рамиль Наимович</t>
  </si>
  <si>
    <t>Вид расходов</t>
  </si>
  <si>
    <t>Подтверждающие документы №, Дата</t>
  </si>
  <si>
    <t>Сумма, руб.</t>
  </si>
  <si>
    <t xml:space="preserve">                                                                                                        ИТОГО:</t>
  </si>
  <si>
    <t>Затраты произведены в соответствии с прилагаемой сметой на представительские расходы.</t>
  </si>
  <si>
    <t xml:space="preserve">Затраты на проведение официальной встречи (приема) составили: </t>
  </si>
  <si>
    <t>Заключение Комиссии:</t>
  </si>
  <si>
    <t>Председатель комиссии:</t>
  </si>
  <si>
    <t>М.А. Долгих</t>
  </si>
  <si>
    <t>Члены комиссии:</t>
  </si>
  <si>
    <t>Е.А. Чинакова</t>
  </si>
  <si>
    <t>Р.Н. Мангушев</t>
  </si>
  <si>
    <t xml:space="preserve">о проведении официальной встречи </t>
  </si>
  <si>
    <t>с представителями</t>
  </si>
  <si>
    <t>Место проведения:</t>
  </si>
  <si>
    <t>Состав участников:</t>
  </si>
  <si>
    <t>Программа встречи:</t>
  </si>
  <si>
    <t>По итогам проведенной встречи:</t>
  </si>
  <si>
    <t>К отчету прилагаются:</t>
  </si>
  <si>
    <t>Ответственное лицо: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</si>
</sst>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:mm;@"/>
  </numFmts>
  <fonts count="36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10"/>
      <color rgb="FF222222"/>
      <name val="Times New Roman"/>
      <family val="1"/>
      <charset val="204"/>
    </font>
    <font>
      <sz val="10"/>
      <name val="Times New Roman"/>
      <family val="1"/>
      <charset val="204"/>
    </font>
    <font>
      <i/>
      <sz val="11"/>
      <name val="Times New Roman"/>
      <family val="1"/>
      <charset val="204"/>
    </font>
    <font>
      <i/>
      <sz val="10"/>
      <name val="Times New Roman"/>
      <family val="1"/>
      <charset val="204"/>
    </font>
    <font>
      <sz val="9.5"/>
      <name val="Times New Roman"/>
      <family val="1"/>
      <charset val="204"/>
    </font>
    <font>
      <sz val="8"/>
      <name val="Times New Roman"/>
      <family val="1"/>
      <charset val="204"/>
    </font>
    <font>
      <sz val="9"/>
      <name val="Times New Roman"/>
      <family val="1"/>
      <charset val="204"/>
    </font>
    <font>
      <sz val="7"/>
      <name val="Times New Roman"/>
      <family val="1"/>
      <charset val="204"/>
    </font>
    <font>
      <b/>
      <sz val="12"/>
      <name val="Times New Roman"/>
      <family val="1"/>
      <charset val="204"/>
    </font>
    <font>
      <sz val="5"/>
      <name val="Times New Roman"/>
      <family val="1"/>
      <charset val="204"/>
    </font>
    <font>
      <sz val="8.5"/>
      <name val="Times New Roman"/>
      <family val="1"/>
      <charset val="204"/>
    </font>
    <font>
      <u/>
      <sz val="12"/>
      <color theme="1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b/>
      <sz val="10"/>
      <name val="Times New Roman"/>
      <family val="1"/>
      <charset val="204"/>
    </font>
    <font>
      <u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color theme="9" tint="-0.249977111117893"/>
      <name val="Times New Roman"/>
      <family val="1"/>
      <charset val="204"/>
    </font>
    <font>
      <b/>
      <sz val="11"/>
      <color theme="9" tint="-0.249977111117893"/>
      <name val="Times New Roman"/>
      <family val="1"/>
      <charset val="204"/>
    </font>
    <font>
      <sz val="10"/>
      <color rgb="FF333333"/>
      <name val="Arial"/>
      <family val="2"/>
      <charset val="204"/>
    </font>
    <font>
      <sz val="11"/>
      <color rgb="FF333333"/>
      <name val="Times New Roman"/>
      <family val="1"/>
      <charset val="204"/>
    </font>
    <font>
      <sz val="11"/>
      <color rgb="FF1A1A1A"/>
      <name val="Times New Roman"/>
      <family val="1"/>
      <charset val="204"/>
    </font>
    <font>
      <sz val="11"/>
      <color theme="1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60">
    <xf numFmtId="0" fontId="0" fillId="0" borderId="0" xfId="0"/>
    <xf numFmtId="0" fontId="1" fillId="0" borderId="0" xfId="0" applyFont="1" applyAlignment="1">
      <alignment horizontal="left" vertical="center" indent="15"/>
    </xf>
    <xf numFmtId="0" fontId="1" fillId="0" borderId="0" xfId="0" applyFont="1" applyAlignment="1">
      <alignment horizontal="justify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/>
    </xf>
    <xf numFmtId="0" fontId="1" fillId="0" borderId="10" xfId="0" applyFont="1" applyBorder="1"/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6" fillId="0" borderId="0" xfId="0" applyFont="1"/>
    <xf numFmtId="0" fontId="6" fillId="0" borderId="1" xfId="0" applyFont="1" applyBorder="1" applyAlignment="1">
      <alignment vertical="center" wrapText="1"/>
    </xf>
    <xf numFmtId="0" fontId="7" fillId="0" borderId="0" xfId="0" applyFont="1"/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left" vertical="top"/>
    </xf>
    <xf numFmtId="0" fontId="9" fillId="0" borderId="0" xfId="0" applyFont="1"/>
    <xf numFmtId="0" fontId="9" fillId="0" borderId="5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2" fillId="0" borderId="12" xfId="0" applyFont="1" applyBorder="1" applyAlignment="1">
      <alignment horizontal="center" vertical="center" wrapText="1"/>
    </xf>
    <xf numFmtId="0" fontId="10" fillId="0" borderId="0" xfId="0" applyFont="1"/>
    <xf numFmtId="0" fontId="2" fillId="0" borderId="1" xfId="0" applyFont="1" applyBorder="1" applyAlignment="1">
      <alignment horizontal="center" vertical="center" wrapText="1"/>
    </xf>
    <xf numFmtId="0" fontId="11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15" fillId="0" borderId="0" xfId="0" applyFont="1"/>
    <xf numFmtId="0" fontId="5" fillId="0" borderId="0" xfId="0" applyFont="1"/>
    <xf numFmtId="0" fontId="11" fillId="0" borderId="0" xfId="0" applyFont="1" applyAlignment="1">
      <alignment vertical="top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16" fillId="0" borderId="0" xfId="0" applyFont="1"/>
    <xf numFmtId="0" fontId="16" fillId="0" borderId="0" xfId="0" applyFont="1" applyAlignment="1">
      <alignment horizontal="right"/>
    </xf>
    <xf numFmtId="0" fontId="17" fillId="0" borderId="0" xfId="0" applyFont="1"/>
    <xf numFmtId="49" fontId="16" fillId="0" borderId="0" xfId="0" applyNumberFormat="1" applyFont="1"/>
    <xf numFmtId="0" fontId="11" fillId="0" borderId="8" xfId="0" applyFont="1" applyBorder="1"/>
    <xf numFmtId="0" fontId="11" fillId="0" borderId="9" xfId="0" applyFont="1" applyBorder="1"/>
    <xf numFmtId="0" fontId="15" fillId="0" borderId="6" xfId="0" applyFont="1" applyBorder="1"/>
    <xf numFmtId="0" fontId="11" fillId="0" borderId="2" xfId="0" applyFont="1" applyBorder="1"/>
    <xf numFmtId="0" fontId="11" fillId="0" borderId="4" xfId="0" applyFont="1" applyBorder="1"/>
    <xf numFmtId="0" fontId="15" fillId="0" borderId="8" xfId="0" applyFont="1" applyBorder="1"/>
    <xf numFmtId="0" fontId="19" fillId="0" borderId="0" xfId="0" applyFont="1" applyAlignment="1">
      <alignment horizontal="center" vertical="top"/>
    </xf>
    <xf numFmtId="49" fontId="16" fillId="0" borderId="10" xfId="0" applyNumberFormat="1" applyFont="1" applyBorder="1" applyAlignment="1">
      <alignment horizontal="left"/>
    </xf>
    <xf numFmtId="0" fontId="16" fillId="0" borderId="0" xfId="0" applyFont="1" applyAlignment="1">
      <alignment horizontal="right" vertical="center"/>
    </xf>
    <xf numFmtId="0" fontId="16" fillId="0" borderId="1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/>
    </xf>
    <xf numFmtId="49" fontId="16" fillId="0" borderId="0" xfId="0" applyNumberFormat="1" applyFont="1" applyAlignment="1">
      <alignment horizontal="center"/>
    </xf>
    <xf numFmtId="49" fontId="16" fillId="0" borderId="10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left"/>
    </xf>
    <xf numFmtId="0" fontId="11" fillId="0" borderId="14" xfId="0" applyFont="1" applyBorder="1"/>
    <xf numFmtId="14" fontId="1" fillId="0" borderId="3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 wrapText="1"/>
    </xf>
    <xf numFmtId="164" fontId="1" fillId="0" borderId="0" xfId="0" applyNumberFormat="1" applyFont="1"/>
    <xf numFmtId="1" fontId="6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14" fontId="1" fillId="0" borderId="0" xfId="0" applyNumberFormat="1" applyFont="1" applyAlignment="1">
      <alignment horizontal="left"/>
    </xf>
    <xf numFmtId="0" fontId="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top"/>
    </xf>
    <xf numFmtId="164" fontId="1" fillId="0" borderId="0" xfId="0" applyNumberFormat="1" applyFont="1" applyAlignment="1">
      <alignment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9" fillId="0" borderId="10" xfId="0" applyFont="1" applyBorder="1"/>
    <xf numFmtId="0" fontId="22" fillId="0" borderId="0" xfId="0" applyFont="1"/>
    <xf numFmtId="164" fontId="5" fillId="0" borderId="0" xfId="0" applyNumberFormat="1" applyFont="1"/>
    <xf numFmtId="0" fontId="5" fillId="0" borderId="0" xfId="0" applyFont="1" applyAlignment="1">
      <alignment horizontal="left" vertical="center"/>
    </xf>
    <xf numFmtId="0" fontId="23" fillId="0" borderId="0" xfId="0" applyFont="1" applyAlignment="1">
      <alignment horizontal="right"/>
    </xf>
    <xf numFmtId="0" fontId="25" fillId="0" borderId="10" xfId="0" applyFont="1" applyBorder="1"/>
    <xf numFmtId="0" fontId="25" fillId="0" borderId="0" xfId="0" applyFon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vertical="top" wrapText="1"/>
    </xf>
    <xf numFmtId="4" fontId="5" fillId="0" borderId="0" xfId="0" applyNumberFormat="1" applyFont="1"/>
    <xf numFmtId="0" fontId="26" fillId="0" borderId="0" xfId="0" applyFont="1"/>
    <xf numFmtId="4" fontId="26" fillId="0" borderId="0" xfId="0" applyNumberFormat="1" applyFont="1" applyAlignment="1">
      <alignment vertical="center"/>
    </xf>
    <xf numFmtId="4" fontId="5" fillId="0" borderId="0" xfId="0" applyNumberFormat="1" applyFont="1" applyAlignment="1">
      <alignment vertical="center"/>
    </xf>
    <xf numFmtId="0" fontId="27" fillId="0" borderId="0" xfId="0" applyFont="1"/>
    <xf numFmtId="0" fontId="28" fillId="0" borderId="0" xfId="0" applyFont="1"/>
    <xf numFmtId="0" fontId="5" fillId="0" borderId="0" xfId="0" applyFont="1" applyAlignment="1">
      <alignment horizontal="justify"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5" fillId="0" borderId="5" xfId="0" applyFont="1" applyBorder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6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3" fillId="0" borderId="0" xfId="0" applyFont="1" applyAlignment="1">
      <alignment vertical="top" wrapText="1"/>
    </xf>
    <xf numFmtId="165" fontId="9" fillId="0" borderId="0" xfId="0" applyNumberFormat="1" applyFont="1"/>
    <xf numFmtId="166" fontId="1" fillId="0" borderId="0" xfId="0" applyNumberFormat="1" applyFont="1"/>
    <xf numFmtId="0" fontId="26" fillId="0" borderId="0" xfId="0" applyFont="1" applyAlignment="1">
      <alignment vertical="center"/>
    </xf>
    <xf numFmtId="1" fontId="3" fillId="2" borderId="1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29" fillId="2" borderId="1" xfId="0" applyFont="1" applyFill="1" applyBorder="1"/>
    <xf numFmtId="0" fontId="30" fillId="2" borderId="1" xfId="0" applyFont="1" applyFill="1" applyBorder="1"/>
    <xf numFmtId="2" fontId="3" fillId="2" borderId="1" xfId="0" applyNumberFormat="1" applyFont="1" applyFill="1" applyBorder="1" applyAlignment="1">
      <alignment horizontal="center"/>
    </xf>
    <xf numFmtId="0" fontId="3" fillId="2" borderId="1" xfId="0" applyFont="1" applyFill="1" applyBorder="1"/>
    <xf numFmtId="2" fontId="7" fillId="0" borderId="0" xfId="0" applyNumberFormat="1" applyFont="1"/>
    <xf numFmtId="0" fontId="3" fillId="2" borderId="0" xfId="0" applyFont="1" applyFill="1" applyAlignment="1">
      <alignment horizontal="left"/>
    </xf>
    <xf numFmtId="164" fontId="3" fillId="0" borderId="0" xfId="0" applyNumberFormat="1" applyFont="1"/>
    <xf numFmtId="0" fontId="3" fillId="0" borderId="1" xfId="0" applyFont="1" applyBorder="1"/>
    <xf numFmtId="0" fontId="31" fillId="2" borderId="1" xfId="0" applyFont="1" applyFill="1" applyBorder="1"/>
    <xf numFmtId="166" fontId="3" fillId="0" borderId="0" xfId="0" applyNumberFormat="1" applyFont="1"/>
    <xf numFmtId="0" fontId="3" fillId="0" borderId="2" xfId="0" applyFont="1" applyBorder="1" applyAlignment="1">
      <alignment horizontal="center" vertical="center" wrapText="1"/>
    </xf>
    <xf numFmtId="0" fontId="7" fillId="2" borderId="0" xfId="0" applyFont="1" applyFill="1" applyAlignment="1">
      <alignment horizontal="left"/>
    </xf>
    <xf numFmtId="14" fontId="3" fillId="0" borderId="1" xfId="0" applyNumberFormat="1" applyFont="1" applyBorder="1" applyAlignment="1">
      <alignment horizontal="center" vertical="center" wrapText="1"/>
    </xf>
    <xf numFmtId="14" fontId="1" fillId="0" borderId="0" xfId="0" applyNumberFormat="1" applyFont="1"/>
    <xf numFmtId="14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wrapText="1"/>
    </xf>
    <xf numFmtId="14" fontId="3" fillId="2" borderId="1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0" fontId="3" fillId="4" borderId="0" xfId="0" applyFont="1" applyFill="1"/>
    <xf numFmtId="0" fontId="8" fillId="0" borderId="0" xfId="0" applyFont="1"/>
    <xf numFmtId="0" fontId="7" fillId="0" borderId="0" xfId="0" applyFont="1" applyAlignment="1">
      <alignment horizontal="right"/>
    </xf>
    <xf numFmtId="0" fontId="8" fillId="0" borderId="12" xfId="0" applyFont="1" applyBorder="1" applyAlignment="1">
      <alignment horizontal="center" vertical="center" wrapText="1"/>
    </xf>
    <xf numFmtId="0" fontId="5" fillId="0" borderId="0" xfId="0" applyFont="1" applyAlignment="1">
      <alignment horizontal="right"/>
    </xf>
    <xf numFmtId="0" fontId="7" fillId="0" borderId="15" xfId="0" applyFont="1" applyBorder="1" applyAlignment="1">
      <alignment horizontal="center"/>
    </xf>
    <xf numFmtId="0" fontId="3" fillId="4" borderId="1" xfId="0" applyFont="1" applyFill="1" applyBorder="1"/>
    <xf numFmtId="1" fontId="3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2" fillId="4" borderId="0" xfId="0" applyFont="1" applyFill="1"/>
    <xf numFmtId="0" fontId="3" fillId="4" borderId="1" xfId="0" applyFont="1" applyFill="1" applyBorder="1" applyAlignment="1">
      <alignment vertical="top" wrapText="1"/>
    </xf>
    <xf numFmtId="0" fontId="25" fillId="4" borderId="1" xfId="0" applyFont="1" applyFill="1" applyBorder="1" applyAlignment="1">
      <alignment wrapText="1"/>
    </xf>
    <xf numFmtId="49" fontId="3" fillId="4" borderId="1" xfId="0" applyNumberFormat="1" applyFont="1" applyFill="1" applyBorder="1"/>
    <xf numFmtId="0" fontId="25" fillId="0" borderId="0" xfId="0" applyFont="1" applyAlignment="1">
      <alignment horizontal="left"/>
    </xf>
    <xf numFmtId="0" fontId="33" fillId="0" borderId="0" xfId="0" applyFont="1" applyAlignment="1">
      <alignment horizontal="left" vertical="center" wrapText="1"/>
    </xf>
    <xf numFmtId="0" fontId="33" fillId="0" borderId="0" xfId="0" applyFont="1"/>
    <xf numFmtId="0" fontId="33" fillId="0" borderId="0" xfId="0" applyFont="1" applyAlignment="1">
      <alignment horizontal="left" vertical="center" indent="1"/>
    </xf>
    <xf numFmtId="0" fontId="3" fillId="0" borderId="0" xfId="0" applyFont="1" applyAlignment="1">
      <alignment vertical="center" wrapText="1"/>
    </xf>
    <xf numFmtId="0" fontId="34" fillId="0" borderId="0" xfId="0" applyFont="1"/>
    <xf numFmtId="0" fontId="35" fillId="0" borderId="0" xfId="0" applyFont="1"/>
    <xf numFmtId="14" fontId="1" fillId="0" borderId="10" xfId="0" applyNumberFormat="1" applyFont="1" applyBorder="1" applyAlignment="1">
      <alignment horizontal="left" vertical="center"/>
    </xf>
    <xf numFmtId="0" fontId="0" fillId="0" borderId="10" xfId="0" applyBorder="1"/>
    <xf numFmtId="0" fontId="6" fillId="0" borderId="1" xfId="0" applyFont="1" applyBorder="1" applyAlignment="1">
      <alignment horizontal="left" wrapText="1"/>
    </xf>
    <xf numFmtId="0" fontId="0" fillId="0" borderId="3" xfId="0" applyBorder="1"/>
    <xf numFmtId="0" fontId="0" fillId="0" borderId="4" xfId="0" applyBorder="1"/>
    <xf numFmtId="0" fontId="1" fillId="0" borderId="10" xfId="0" applyFont="1" applyBorder="1" applyAlignment="1">
      <alignment horizontal="left"/>
    </xf>
    <xf numFmtId="0" fontId="3" fillId="0" borderId="10" xfId="0" applyFont="1" applyBorder="1" applyAlignment="1">
      <alignment horizontal="left" wrapText="1"/>
    </xf>
    <xf numFmtId="0" fontId="3" fillId="0" borderId="1" xfId="0" applyFont="1" applyBorder="1" applyAlignment="1">
      <alignment horizontal="center"/>
    </xf>
    <xf numFmtId="2" fontId="24" fillId="0" borderId="0" xfId="0" applyNumberFormat="1" applyFont="1" applyAlignment="1">
      <alignment horizontal="center"/>
    </xf>
    <xf numFmtId="0" fontId="25" fillId="0" borderId="0" xfId="0" applyFont="1"/>
    <xf numFmtId="164" fontId="3" fillId="0" borderId="5" xfId="0" applyNumberFormat="1" applyFont="1" applyBorder="1" applyAlignment="1">
      <alignment horizontal="center"/>
    </xf>
    <xf numFmtId="0" fontId="0" fillId="0" borderId="5" xfId="0" applyBorder="1"/>
    <xf numFmtId="1" fontId="1" fillId="0" borderId="3" xfId="0" applyNumberFormat="1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 vertical="top" wrapText="1"/>
    </xf>
    <xf numFmtId="0" fontId="8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right" wrapText="1"/>
    </xf>
    <xf numFmtId="0" fontId="6" fillId="0" borderId="0" xfId="0" applyFont="1" applyAlignment="1">
      <alignment horizontal="left" wrapText="1"/>
    </xf>
    <xf numFmtId="0" fontId="5" fillId="0" borderId="1" xfId="0" applyFont="1" applyBorder="1" applyAlignment="1">
      <alignment horizontal="left" wrapText="1"/>
    </xf>
    <xf numFmtId="0" fontId="3" fillId="0" borderId="10" xfId="0" applyFont="1" applyBorder="1" applyAlignment="1">
      <alignment horizontal="left"/>
    </xf>
    <xf numFmtId="0" fontId="5" fillId="0" borderId="0" xfId="0" applyFont="1" applyAlignment="1">
      <alignment wrapText="1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28" fillId="0" borderId="0" xfId="0" applyFont="1"/>
    <xf numFmtId="0" fontId="5" fillId="0" borderId="0" xfId="0" applyFont="1" applyAlignment="1">
      <alignment horizontal="left"/>
    </xf>
    <xf numFmtId="2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 wrapText="1"/>
    </xf>
    <xf numFmtId="0" fontId="1" fillId="0" borderId="0" xfId="0" applyFont="1"/>
    <xf numFmtId="0" fontId="2" fillId="0" borderId="1" xfId="0" applyFont="1" applyBorder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2" fontId="16" fillId="0" borderId="1" xfId="0" applyNumberFormat="1" applyFont="1" applyBorder="1" applyAlignment="1">
      <alignment horizontal="center"/>
    </xf>
    <xf numFmtId="49" fontId="16" fillId="0" borderId="10" xfId="0" applyNumberFormat="1" applyFont="1" applyBorder="1" applyAlignment="1">
      <alignment horizontal="center"/>
    </xf>
    <xf numFmtId="0" fontId="16" fillId="0" borderId="0" xfId="0" applyFont="1"/>
    <xf numFmtId="0" fontId="11" fillId="0" borderId="0" xfId="0" applyFont="1"/>
    <xf numFmtId="0" fontId="17" fillId="0" borderId="5" xfId="0" applyFont="1" applyBorder="1" applyAlignment="1">
      <alignment horizontal="center" vertical="top"/>
    </xf>
    <xf numFmtId="0" fontId="20" fillId="0" borderId="10" xfId="0" applyFont="1" applyBorder="1"/>
    <xf numFmtId="0" fontId="15" fillId="0" borderId="1" xfId="0" applyFont="1" applyBorder="1" applyAlignment="1">
      <alignment horizontal="center" vertical="center"/>
    </xf>
    <xf numFmtId="2" fontId="14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right"/>
    </xf>
    <xf numFmtId="0" fontId="0" fillId="0" borderId="0" xfId="0"/>
    <xf numFmtId="49" fontId="18" fillId="0" borderId="1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4" fillId="0" borderId="1" xfId="0" applyFont="1" applyBorder="1" applyAlignment="1">
      <alignment horizontal="center"/>
    </xf>
    <xf numFmtId="1" fontId="16" fillId="0" borderId="1" xfId="0" applyNumberFormat="1" applyFont="1" applyBorder="1" applyAlignment="1">
      <alignment horizontal="center"/>
    </xf>
    <xf numFmtId="0" fontId="16" fillId="0" borderId="10" xfId="0" applyFont="1" applyBorder="1" applyAlignment="1">
      <alignment horizontal="left"/>
    </xf>
    <xf numFmtId="49" fontId="14" fillId="0" borderId="1" xfId="0" applyNumberFormat="1" applyFont="1" applyBorder="1" applyAlignment="1">
      <alignment horizontal="center"/>
    </xf>
    <xf numFmtId="0" fontId="15" fillId="0" borderId="4" xfId="0" applyFont="1" applyBorder="1"/>
    <xf numFmtId="0" fontId="16" fillId="0" borderId="10" xfId="0" applyFont="1" applyBorder="1" applyAlignment="1">
      <alignment horizontal="center"/>
    </xf>
    <xf numFmtId="49" fontId="15" fillId="0" borderId="1" xfId="0" applyNumberFormat="1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/>
    </xf>
    <xf numFmtId="0" fontId="11" fillId="0" borderId="5" xfId="0" applyFont="1" applyBorder="1" applyAlignment="1">
      <alignment horizontal="center" vertical="top"/>
    </xf>
    <xf numFmtId="0" fontId="15" fillId="0" borderId="4" xfId="0" applyFont="1" applyBorder="1" applyAlignment="1">
      <alignment horizontal="center"/>
    </xf>
    <xf numFmtId="49" fontId="11" fillId="0" borderId="0" xfId="0" applyNumberFormat="1" applyFont="1" applyAlignment="1">
      <alignment horizontal="center"/>
    </xf>
    <xf numFmtId="0" fontId="15" fillId="0" borderId="1" xfId="0" applyFont="1" applyBorder="1"/>
    <xf numFmtId="0" fontId="16" fillId="0" borderId="13" xfId="0" applyFont="1" applyBorder="1" applyAlignment="1">
      <alignment horizontal="right"/>
    </xf>
    <xf numFmtId="0" fontId="0" fillId="0" borderId="13" xfId="0" applyBorder="1"/>
    <xf numFmtId="0" fontId="17" fillId="0" borderId="2" xfId="0" applyFont="1" applyBorder="1" applyAlignment="1">
      <alignment horizontal="left"/>
    </xf>
    <xf numFmtId="0" fontId="16" fillId="0" borderId="0" xfId="0" applyFont="1" applyAlignment="1">
      <alignment horizontal="center"/>
    </xf>
    <xf numFmtId="0" fontId="16" fillId="0" borderId="11" xfId="0" applyFont="1" applyBorder="1" applyAlignment="1">
      <alignment horizontal="center"/>
    </xf>
    <xf numFmtId="0" fontId="11" fillId="0" borderId="10" xfId="0" applyFont="1" applyBorder="1" applyAlignment="1">
      <alignment horizontal="left"/>
    </xf>
    <xf numFmtId="0" fontId="16" fillId="0" borderId="10" xfId="0" applyFont="1" applyBorder="1"/>
    <xf numFmtId="0" fontId="11" fillId="0" borderId="6" xfId="0" applyFont="1" applyBorder="1" applyAlignment="1">
      <alignment horizontal="center"/>
    </xf>
    <xf numFmtId="0" fontId="16" fillId="0" borderId="1" xfId="0" applyFont="1" applyBorder="1" applyAlignment="1">
      <alignment horizontal="center" wrapText="1"/>
    </xf>
    <xf numFmtId="0" fontId="20" fillId="0" borderId="10" xfId="0" applyFont="1" applyBorder="1" applyAlignment="1">
      <alignment horizontal="center"/>
    </xf>
    <xf numFmtId="49" fontId="16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11" fillId="0" borderId="10" xfId="0" applyFont="1" applyBorder="1" applyAlignment="1">
      <alignment horizontal="center"/>
    </xf>
    <xf numFmtId="49" fontId="11" fillId="0" borderId="10" xfId="0" applyNumberFormat="1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18" fillId="0" borderId="13" xfId="0" applyFont="1" applyBorder="1" applyAlignment="1">
      <alignment vertical="center"/>
    </xf>
    <xf numFmtId="49" fontId="11" fillId="0" borderId="0" xfId="0" applyNumberFormat="1" applyFont="1" applyAlignment="1">
      <alignment horizontal="center" vertical="center"/>
    </xf>
    <xf numFmtId="0" fontId="16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 wrapText="1"/>
    </xf>
    <xf numFmtId="0" fontId="0" fillId="0" borderId="11" xfId="0" applyBorder="1"/>
    <xf numFmtId="0" fontId="14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right"/>
    </xf>
    <xf numFmtId="49" fontId="16" fillId="0" borderId="0" xfId="0" applyNumberFormat="1" applyFont="1" applyAlignment="1">
      <alignment horizontal="right"/>
    </xf>
    <xf numFmtId="0" fontId="11" fillId="0" borderId="9" xfId="0" applyFont="1" applyBorder="1" applyAlignment="1">
      <alignment horizontal="left"/>
    </xf>
    <xf numFmtId="0" fontId="16" fillId="0" borderId="5" xfId="0" applyFont="1" applyBorder="1" applyAlignment="1">
      <alignment vertical="top"/>
    </xf>
    <xf numFmtId="0" fontId="16" fillId="0" borderId="5" xfId="0" applyFont="1" applyBorder="1"/>
    <xf numFmtId="0" fontId="16" fillId="0" borderId="16" xfId="0" applyFont="1" applyBorder="1" applyAlignment="1">
      <alignment horizontal="center"/>
    </xf>
    <xf numFmtId="0" fontId="17" fillId="0" borderId="0" xfId="0" applyFont="1" applyAlignment="1">
      <alignment horizontal="center" vertical="top"/>
    </xf>
    <xf numFmtId="0" fontId="15" fillId="0" borderId="4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/>
    </xf>
    <xf numFmtId="0" fontId="15" fillId="0" borderId="2" xfId="0" applyFont="1" applyBorder="1" applyAlignment="1">
      <alignment horizontal="left" vertical="center"/>
    </xf>
    <xf numFmtId="0" fontId="15" fillId="0" borderId="2" xfId="0" applyFont="1" applyBorder="1" applyAlignment="1">
      <alignment horizontal="left"/>
    </xf>
    <xf numFmtId="0" fontId="14" fillId="0" borderId="7" xfId="0" applyFont="1" applyBorder="1" applyAlignment="1">
      <alignment horizontal="right"/>
    </xf>
    <xf numFmtId="49" fontId="16" fillId="0" borderId="0" xfId="0" applyNumberFormat="1" applyFont="1"/>
    <xf numFmtId="0" fontId="1" fillId="0" borderId="10" xfId="0" applyFont="1" applyBorder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0" fontId="1" fillId="0" borderId="2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 wrapText="1"/>
    </xf>
    <xf numFmtId="0" fontId="1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wrapText="1"/>
    </xf>
    <xf numFmtId="0" fontId="2" fillId="0" borderId="1" xfId="0" applyFont="1" applyBorder="1" applyAlignment="1">
      <alignment horizontal="center"/>
    </xf>
    <xf numFmtId="0" fontId="5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center" vertical="center" wrapText="1"/>
    </xf>
    <xf numFmtId="164" fontId="3" fillId="0" borderId="0" xfId="0" applyNumberFormat="1" applyFont="1" applyAlignment="1">
      <alignment horizontal="left"/>
    </xf>
    <xf numFmtId="0" fontId="5" fillId="0" borderId="10" xfId="0" applyFont="1" applyBorder="1"/>
    <xf numFmtId="164" fontId="25" fillId="0" borderId="5" xfId="0" applyNumberFormat="1" applyFont="1" applyBorder="1" applyAlignment="1">
      <alignment horizontal="center"/>
    </xf>
    <xf numFmtId="0" fontId="22" fillId="0" borderId="0" xfId="0" applyFont="1"/>
    <xf numFmtId="2" fontId="2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left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53"/>
  <sheetViews>
    <sheetView topLeftCell="A7" zoomScale="90" zoomScaleNormal="90" workbookViewId="0">
      <selection activeCell="C22" sqref="C22"/>
    </sheetView>
  </sheetViews>
  <sheetFormatPr defaultColWidth="9.109375" defaultRowHeight="13.8" x14ac:dyDescent="0.25"/>
  <cols>
    <col min="1" max="1" width="28.5546875" style="13" customWidth="1"/>
    <col min="2" max="2" width="33" style="13" customWidth="1"/>
    <col min="3" max="3" width="25.6640625" style="13" customWidth="1"/>
    <col min="4" max="4" width="18.6640625" style="13" customWidth="1"/>
    <col min="5" max="5" width="17.44140625" style="13" customWidth="1"/>
    <col min="6" max="6" width="15.6640625" style="13" customWidth="1"/>
    <col min="7" max="7" width="17.6640625" style="13" customWidth="1"/>
    <col min="8" max="8" width="16.44140625" style="13" customWidth="1"/>
    <col min="9" max="9" width="18.6640625" style="13" customWidth="1"/>
    <col min="10" max="13" width="9.109375" style="13" customWidth="1"/>
    <col min="14" max="16384" width="9.109375" style="13"/>
  </cols>
  <sheetData>
    <row r="1" spans="1:5" ht="15.75" customHeight="1" x14ac:dyDescent="0.3">
      <c r="B1" s="7" t="s">
        <v>0</v>
      </c>
      <c r="C1" s="7"/>
    </row>
    <row r="2" spans="1:5" ht="15.75" customHeight="1" x14ac:dyDescent="0.3">
      <c r="A2" s="13" t="s">
        <v>1</v>
      </c>
      <c r="B2" s="7" t="s">
        <v>2</v>
      </c>
      <c r="C2" s="7"/>
    </row>
    <row r="3" spans="1:5" ht="15.75" customHeight="1" x14ac:dyDescent="0.3">
      <c r="A3" s="13" t="s">
        <v>3</v>
      </c>
      <c r="B3" s="7" t="s">
        <v>4</v>
      </c>
      <c r="C3" s="7"/>
    </row>
    <row r="4" spans="1:5" ht="29.25" customHeight="1" x14ac:dyDescent="0.3">
      <c r="A4" s="118" t="s">
        <v>5</v>
      </c>
      <c r="B4" s="115">
        <f>IF(AND(D9&gt;=DATE(2025,12,27),D9&lt;=DATE(2025,12,31)),D9,WORKDAY(D9,3,G33:H43))</f>
        <v>45945</v>
      </c>
      <c r="C4" s="115"/>
    </row>
    <row r="5" spans="1:5" x14ac:dyDescent="0.25">
      <c r="A5" s="140" t="s">
        <v>6</v>
      </c>
      <c r="B5" s="121" t="s">
        <v>7</v>
      </c>
      <c r="C5" s="13" t="str">
        <f>VLOOKUP(B5,Лист1!A2:D6,4,FALSE)</f>
        <v>Заместитель Генерального директора – Руководитель Аппарата</v>
      </c>
    </row>
    <row r="6" spans="1:5" x14ac:dyDescent="0.25">
      <c r="A6" s="140" t="s">
        <v>8</v>
      </c>
      <c r="B6" s="121" t="s">
        <v>9</v>
      </c>
      <c r="C6" s="13" t="str">
        <f>VLOOKUP(B6,Лист1!A8:B11,2)</f>
        <v>Руководитель направления контроля за исполнением отдельных поручений </v>
      </c>
    </row>
    <row r="7" spans="1:5" ht="15.75" customHeight="1" thickBot="1" x14ac:dyDescent="0.3">
      <c r="B7" s="101" t="s">
        <v>10</v>
      </c>
    </row>
    <row r="8" spans="1:5" ht="38.25" customHeight="1" x14ac:dyDescent="0.25">
      <c r="A8" s="126" t="s">
        <v>11</v>
      </c>
      <c r="B8" s="13" t="s">
        <v>12</v>
      </c>
      <c r="C8" s="126" t="s">
        <v>13</v>
      </c>
      <c r="D8" s="126" t="s">
        <v>14</v>
      </c>
      <c r="E8" s="124" t="s">
        <v>15</v>
      </c>
    </row>
    <row r="9" spans="1:5" x14ac:dyDescent="0.25">
      <c r="A9" s="104">
        <v>1500</v>
      </c>
      <c r="B9" s="127" t="s">
        <v>16</v>
      </c>
      <c r="C9" s="100" t="s">
        <v>17</v>
      </c>
      <c r="D9" s="119" t="s">
        <v>18</v>
      </c>
      <c r="E9" s="104">
        <v>12</v>
      </c>
    </row>
    <row r="10" spans="1:5" x14ac:dyDescent="0.25">
      <c r="A10" s="104">
        <v>2000</v>
      </c>
      <c r="B10" s="104" t="str">
        <f>B9</f>
        <v>макдак</v>
      </c>
      <c r="C10" s="104" t="s">
        <v>19</v>
      </c>
      <c r="D10" s="104" t="s">
        <v>18</v>
      </c>
      <c r="E10" s="104">
        <v>12</v>
      </c>
    </row>
    <row r="11" spans="1:5" x14ac:dyDescent="0.25">
      <c r="A11" s="104">
        <v>0</v>
      </c>
      <c r="B11" s="103"/>
      <c r="C11" s="104"/>
      <c r="D11" s="105"/>
      <c r="E11" s="104"/>
    </row>
    <row r="12" spans="1:5" x14ac:dyDescent="0.25">
      <c r="A12" s="104">
        <v>0</v>
      </c>
      <c r="B12" s="103"/>
      <c r="C12" s="104"/>
      <c r="D12" s="105"/>
      <c r="E12" s="104"/>
    </row>
    <row r="13" spans="1:5" x14ac:dyDescent="0.25">
      <c r="A13" s="104">
        <v>0</v>
      </c>
      <c r="B13" s="103"/>
      <c r="C13" s="104"/>
      <c r="D13" s="105"/>
      <c r="E13" s="104"/>
    </row>
    <row r="14" spans="1:5" x14ac:dyDescent="0.25">
      <c r="A14" s="106">
        <f>SUM(A9:A13)</f>
        <v>3500</v>
      </c>
    </row>
    <row r="15" spans="1:5" ht="15" customHeight="1" x14ac:dyDescent="0.25">
      <c r="A15" s="123" t="s">
        <v>20</v>
      </c>
      <c r="B15" s="13" t="s">
        <v>21</v>
      </c>
      <c r="C15" s="3"/>
      <c r="D15" s="3"/>
      <c r="E15" s="3"/>
    </row>
    <row r="16" spans="1:5" ht="15" customHeight="1" x14ac:dyDescent="0.25">
      <c r="B16" s="101" t="s">
        <v>22</v>
      </c>
      <c r="C16" s="3"/>
      <c r="D16" s="3"/>
      <c r="E16" s="3"/>
    </row>
    <row r="17" spans="1:9" ht="15" customHeight="1" x14ac:dyDescent="0.25">
      <c r="A17" s="13" t="s">
        <v>23</v>
      </c>
      <c r="B17" s="107" t="s">
        <v>24</v>
      </c>
      <c r="C17" s="3"/>
      <c r="D17" s="3"/>
      <c r="E17" s="3"/>
    </row>
    <row r="18" spans="1:9" x14ac:dyDescent="0.25">
      <c r="A18" s="13" t="s">
        <v>25</v>
      </c>
      <c r="B18" s="128">
        <f>1+COUNTA(A37:A41)</f>
        <v>2</v>
      </c>
      <c r="C18" s="108"/>
    </row>
    <row r="20" spans="1:9" ht="31.5" customHeight="1" x14ac:dyDescent="0.25">
      <c r="B20" s="129" t="s">
        <v>26</v>
      </c>
      <c r="C20" s="129" t="s">
        <v>27</v>
      </c>
    </row>
    <row r="21" spans="1:9" x14ac:dyDescent="0.25">
      <c r="B21" s="102" t="s">
        <v>28</v>
      </c>
      <c r="C21" s="106">
        <f>ROUNDUP(A14,-3)</f>
        <v>4000</v>
      </c>
    </row>
    <row r="22" spans="1:9" x14ac:dyDescent="0.25">
      <c r="B22" s="110" t="s">
        <v>29</v>
      </c>
      <c r="C22" s="109"/>
    </row>
    <row r="23" spans="1:9" x14ac:dyDescent="0.25">
      <c r="B23" s="105" t="s">
        <v>29</v>
      </c>
      <c r="C23" s="109" t="str">
        <f>IF((A11&gt;0),ROUND((A11/100),0)*100+300,"-")</f>
        <v>-</v>
      </c>
      <c r="I23" s="25" t="s">
        <v>30</v>
      </c>
    </row>
    <row r="24" spans="1:9" x14ac:dyDescent="0.25">
      <c r="B24" s="105" t="s">
        <v>29</v>
      </c>
      <c r="C24" s="109" t="str">
        <f>IF((A12&gt;0),ROUND((A12/100),0)*100+300,"-")</f>
        <v>-</v>
      </c>
      <c r="I24" s="25" t="s">
        <v>31</v>
      </c>
    </row>
    <row r="25" spans="1:9" x14ac:dyDescent="0.25">
      <c r="B25" s="105" t="s">
        <v>29</v>
      </c>
      <c r="C25" s="109" t="str">
        <f>IF((A13&gt;0),ROUND((A13/100),0)*100+300,"-")</f>
        <v>-</v>
      </c>
      <c r="I25" s="16" t="s">
        <v>32</v>
      </c>
    </row>
    <row r="26" spans="1:9" x14ac:dyDescent="0.25">
      <c r="C26" s="106">
        <f>ROUNDUP(A14,-3)</f>
        <v>4000</v>
      </c>
      <c r="I26" s="25" t="s">
        <v>33</v>
      </c>
    </row>
    <row r="27" spans="1:9" x14ac:dyDescent="0.25">
      <c r="A27" s="123" t="s">
        <v>20</v>
      </c>
      <c r="B27" s="13" t="s">
        <v>34</v>
      </c>
      <c r="D27" s="106"/>
      <c r="I27" s="13" t="s">
        <v>35</v>
      </c>
    </row>
    <row r="28" spans="1:9" x14ac:dyDescent="0.25">
      <c r="A28" s="18" t="s">
        <v>36</v>
      </c>
      <c r="D28" s="106"/>
      <c r="I28" s="25" t="s">
        <v>28</v>
      </c>
    </row>
    <row r="29" spans="1:9" x14ac:dyDescent="0.25">
      <c r="A29" s="122" t="s">
        <v>37</v>
      </c>
      <c r="B29" s="116">
        <f>IF(AND(D9&gt;=DATE(2025,12,27),D9&lt;=DATE(2025,12,31)),D9,WORKDAY(D9,-1,G33:H43))</f>
        <v>45939</v>
      </c>
      <c r="D29" s="106"/>
      <c r="I29" s="25" t="s">
        <v>38</v>
      </c>
    </row>
    <row r="30" spans="1:9" x14ac:dyDescent="0.25">
      <c r="I30" s="25"/>
    </row>
    <row r="31" spans="1:9" x14ac:dyDescent="0.25">
      <c r="B31" s="101" t="s">
        <v>39</v>
      </c>
    </row>
    <row r="32" spans="1:9" ht="34.5" customHeight="1" x14ac:dyDescent="0.25">
      <c r="B32" s="101"/>
      <c r="G32" s="117" t="s">
        <v>40</v>
      </c>
      <c r="H32" s="117" t="s">
        <v>40</v>
      </c>
    </row>
    <row r="33" spans="1:8" x14ac:dyDescent="0.25">
      <c r="A33" s="18" t="s">
        <v>41</v>
      </c>
      <c r="B33" s="113" t="s">
        <v>42</v>
      </c>
      <c r="G33" s="116">
        <v>45964</v>
      </c>
      <c r="H33" s="116">
        <v>46030</v>
      </c>
    </row>
    <row r="34" spans="1:8" ht="15.75" customHeight="1" x14ac:dyDescent="0.3">
      <c r="A34" s="7" t="s">
        <v>43</v>
      </c>
      <c r="B34" s="130" t="s">
        <v>44</v>
      </c>
      <c r="G34" s="116">
        <v>45965</v>
      </c>
      <c r="H34" s="116">
        <v>46031</v>
      </c>
    </row>
    <row r="35" spans="1:8" ht="15.75" customHeight="1" thickBot="1" x14ac:dyDescent="0.3">
      <c r="B35" s="101"/>
      <c r="G35" s="116">
        <v>46022</v>
      </c>
      <c r="H35" s="116">
        <v>46076</v>
      </c>
    </row>
    <row r="36" spans="1:8" ht="33.75" customHeight="1" x14ac:dyDescent="0.25">
      <c r="A36" s="24" t="s">
        <v>45</v>
      </c>
      <c r="B36" s="24" t="s">
        <v>46</v>
      </c>
      <c r="C36" s="24" t="s">
        <v>47</v>
      </c>
      <c r="G36" s="116">
        <v>46023</v>
      </c>
      <c r="H36" s="116">
        <v>46090</v>
      </c>
    </row>
    <row r="37" spans="1:8" ht="90" customHeight="1" x14ac:dyDescent="0.25">
      <c r="A37" s="131" t="s">
        <v>48</v>
      </c>
      <c r="B37" s="131" t="s">
        <v>49</v>
      </c>
      <c r="C37" s="132" t="s">
        <v>50</v>
      </c>
      <c r="G37" s="116">
        <v>46024</v>
      </c>
      <c r="H37" s="116">
        <v>46153</v>
      </c>
    </row>
    <row r="38" spans="1:8" x14ac:dyDescent="0.25">
      <c r="A38" s="127"/>
      <c r="B38" s="133"/>
      <c r="C38" s="127"/>
      <c r="G38" s="116">
        <v>46027</v>
      </c>
      <c r="H38" s="116">
        <v>46143</v>
      </c>
    </row>
    <row r="39" spans="1:8" x14ac:dyDescent="0.25">
      <c r="A39" s="127"/>
      <c r="B39" s="133"/>
      <c r="C39" s="127"/>
      <c r="G39" s="116">
        <v>46028</v>
      </c>
      <c r="H39" s="116">
        <v>46185</v>
      </c>
    </row>
    <row r="40" spans="1:8" x14ac:dyDescent="0.25">
      <c r="A40" s="127"/>
      <c r="B40" s="127"/>
      <c r="C40" s="127"/>
      <c r="G40" s="116">
        <v>46029</v>
      </c>
      <c r="H40" s="116">
        <v>46387</v>
      </c>
    </row>
    <row r="41" spans="1:8" x14ac:dyDescent="0.25">
      <c r="A41" s="127"/>
      <c r="B41" s="127"/>
      <c r="C41" s="127"/>
    </row>
    <row r="42" spans="1:8" x14ac:dyDescent="0.25">
      <c r="B42" s="18" t="s">
        <v>51</v>
      </c>
    </row>
    <row r="43" spans="1:8" x14ac:dyDescent="0.25">
      <c r="A43" s="13" t="s">
        <v>52</v>
      </c>
      <c r="B43" s="18"/>
    </row>
    <row r="44" spans="1:8" x14ac:dyDescent="0.25">
      <c r="A44" s="107" t="s">
        <v>53</v>
      </c>
      <c r="B44" s="107"/>
      <c r="C44" s="107"/>
      <c r="D44" s="107"/>
    </row>
    <row r="45" spans="1:8" ht="96" customHeight="1" x14ac:dyDescent="0.25">
      <c r="G45" s="111"/>
    </row>
    <row r="49" spans="1:1" ht="12.75" customHeight="1" x14ac:dyDescent="0.25"/>
    <row r="50" spans="1:1" ht="11.25" customHeight="1" x14ac:dyDescent="0.25"/>
    <row r="51" spans="1:1" ht="46.5" customHeight="1" x14ac:dyDescent="0.25"/>
    <row r="53" spans="1:1" ht="15.75" customHeight="1" x14ac:dyDescent="0.25">
      <c r="A53" s="3"/>
    </row>
  </sheetData>
  <dataValidations count="1">
    <dataValidation type="list" allowBlank="1" showInputMessage="1" showErrorMessage="1" sqref="B21:B25" xr:uid="{00000000-0002-0000-0000-000000000000}">
      <formula1>$I$21:$I$30</formula1>
    </dataValidation>
  </dataValidations>
  <pageMargins left="0.7" right="0.7" top="0.75" bottom="0.75" header="0.3" footer="0.3"/>
  <pageSetup paperSize="9" scale="56" orientation="portrait"/>
  <colBreaks count="1" manualBreakCount="1">
    <brk id="11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1"/>
  <sheetViews>
    <sheetView workbookViewId="0">
      <selection activeCell="A8" sqref="A8:B11"/>
    </sheetView>
  </sheetViews>
  <sheetFormatPr defaultRowHeight="15.75" customHeight="1" x14ac:dyDescent="0.3"/>
  <cols>
    <col min="1" max="1" width="18.88671875" customWidth="1"/>
    <col min="2" max="6" width="17.109375" customWidth="1"/>
  </cols>
  <sheetData>
    <row r="1" spans="1:6" ht="15.75" customHeight="1" x14ac:dyDescent="0.3">
      <c r="A1" t="s">
        <v>54</v>
      </c>
    </row>
    <row r="2" spans="1:6" ht="15.75" customHeight="1" x14ac:dyDescent="0.3">
      <c r="A2" s="95" t="s">
        <v>4</v>
      </c>
      <c r="B2" s="135" t="s">
        <v>55</v>
      </c>
      <c r="C2" s="135" t="s">
        <v>56</v>
      </c>
      <c r="D2" s="13" t="s">
        <v>2</v>
      </c>
      <c r="E2" s="136" t="s">
        <v>57</v>
      </c>
      <c r="F2" s="136" t="s">
        <v>58</v>
      </c>
    </row>
    <row r="3" spans="1:6" ht="15.75" customHeight="1" x14ac:dyDescent="0.3">
      <c r="A3" s="95" t="s">
        <v>59</v>
      </c>
      <c r="B3" s="135" t="s">
        <v>60</v>
      </c>
      <c r="C3" s="135" t="s">
        <v>61</v>
      </c>
      <c r="D3" s="13" t="s">
        <v>62</v>
      </c>
      <c r="E3" s="137" t="s">
        <v>63</v>
      </c>
      <c r="F3" s="13" t="s">
        <v>64</v>
      </c>
    </row>
    <row r="4" spans="1:6" ht="15.75" customHeight="1" x14ac:dyDescent="0.3">
      <c r="A4" s="95" t="s">
        <v>65</v>
      </c>
      <c r="B4" s="135" t="s">
        <v>66</v>
      </c>
      <c r="C4" s="135" t="s">
        <v>66</v>
      </c>
      <c r="D4" s="109" t="s">
        <v>67</v>
      </c>
      <c r="E4" s="13" t="s">
        <v>68</v>
      </c>
      <c r="F4" s="13" t="s">
        <v>69</v>
      </c>
    </row>
    <row r="5" spans="1:6" ht="15.75" customHeight="1" x14ac:dyDescent="0.3">
      <c r="A5" s="138" t="s">
        <v>7</v>
      </c>
      <c r="B5" s="135" t="s">
        <v>70</v>
      </c>
      <c r="C5" s="135" t="s">
        <v>71</v>
      </c>
      <c r="D5" s="109" t="s">
        <v>72</v>
      </c>
      <c r="E5" s="13" t="s">
        <v>73</v>
      </c>
      <c r="F5" s="13" t="s">
        <v>74</v>
      </c>
    </row>
    <row r="6" spans="1:6" ht="15.75" customHeight="1" x14ac:dyDescent="0.3">
      <c r="A6" s="138" t="s">
        <v>75</v>
      </c>
      <c r="B6" s="135" t="s">
        <v>76</v>
      </c>
      <c r="C6" s="135" t="s">
        <v>77</v>
      </c>
      <c r="D6" s="139" t="s">
        <v>78</v>
      </c>
      <c r="E6" s="136" t="s">
        <v>79</v>
      </c>
      <c r="F6" s="13" t="s">
        <v>80</v>
      </c>
    </row>
    <row r="7" spans="1:6" ht="15.75" customHeight="1" x14ac:dyDescent="0.3">
      <c r="A7" s="95" t="s">
        <v>81</v>
      </c>
    </row>
    <row r="8" spans="1:6" ht="15.75" customHeight="1" x14ac:dyDescent="0.3">
      <c r="A8" s="13" t="s">
        <v>82</v>
      </c>
      <c r="B8" s="7" t="s">
        <v>83</v>
      </c>
    </row>
    <row r="9" spans="1:6" ht="15.75" customHeight="1" x14ac:dyDescent="0.3">
      <c r="A9" s="13" t="s">
        <v>9</v>
      </c>
      <c r="B9" s="134" t="s">
        <v>84</v>
      </c>
    </row>
    <row r="10" spans="1:6" ht="15.75" customHeight="1" x14ac:dyDescent="0.3">
      <c r="A10" s="13" t="s">
        <v>85</v>
      </c>
      <c r="B10" s="13" t="s">
        <v>86</v>
      </c>
    </row>
    <row r="11" spans="1:6" ht="15.75" customHeight="1" x14ac:dyDescent="0.3">
      <c r="A11" s="13" t="s">
        <v>87</v>
      </c>
      <c r="B11" s="7" t="s">
        <v>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I34"/>
  <sheetViews>
    <sheetView tabSelected="1" view="pageBreakPreview" topLeftCell="A10" zoomScale="85" zoomScaleNormal="100" zoomScaleSheetLayoutView="85" workbookViewId="0">
      <selection activeCell="D26" sqref="D26:E27"/>
    </sheetView>
  </sheetViews>
  <sheetFormatPr defaultColWidth="9.109375" defaultRowHeight="13.8" x14ac:dyDescent="0.25"/>
  <cols>
    <col min="1" max="1" width="9.6640625" style="13" customWidth="1"/>
    <col min="2" max="2" width="7.109375" style="13" customWidth="1"/>
    <col min="3" max="3" width="5.88671875" style="13" customWidth="1"/>
    <col min="4" max="4" width="17.88671875" style="13" customWidth="1"/>
    <col min="5" max="5" width="6.5546875" style="13" customWidth="1"/>
    <col min="6" max="6" width="16.88671875" style="13" customWidth="1"/>
    <col min="7" max="7" width="6.109375" style="13" customWidth="1"/>
    <col min="8" max="8" width="18.5546875" style="13" customWidth="1"/>
    <col min="9" max="12" width="9.109375" style="13" customWidth="1"/>
    <col min="13" max="16384" width="9.109375" style="13"/>
  </cols>
  <sheetData>
    <row r="1" spans="1:9" ht="15.75" customHeight="1" x14ac:dyDescent="0.3">
      <c r="A1" s="1"/>
      <c r="B1" s="7"/>
      <c r="C1" s="7"/>
      <c r="D1" s="7"/>
      <c r="E1" s="7"/>
      <c r="F1" s="7" t="s">
        <v>0</v>
      </c>
      <c r="G1" s="7"/>
      <c r="H1" s="7"/>
      <c r="I1" s="7"/>
    </row>
    <row r="2" spans="1:9" ht="44.25" customHeight="1" x14ac:dyDescent="0.3">
      <c r="A2" s="1"/>
      <c r="B2" s="7"/>
      <c r="C2" s="7"/>
      <c r="D2" s="7"/>
      <c r="E2" s="7"/>
      <c r="F2" s="147" t="str">
        <f>IF(ISBLANK(Лист2!B2),"_",Лист2!B2)</f>
        <v>Заместитель Генерального директора по экономике и финансам</v>
      </c>
      <c r="G2" s="142"/>
      <c r="H2" s="142"/>
      <c r="I2" s="7"/>
    </row>
    <row r="3" spans="1:9" ht="15.75" customHeight="1" x14ac:dyDescent="0.3">
      <c r="A3" s="2"/>
      <c r="B3" s="7"/>
      <c r="C3" s="7"/>
      <c r="D3" s="7"/>
      <c r="E3" s="7"/>
      <c r="F3" s="162" t="str">
        <f>IF(ISBLANK(Лист2!B3),"_",Лист2!B3)</f>
        <v>Акакин Д.В.</v>
      </c>
      <c r="G3" s="142"/>
      <c r="H3" s="142"/>
      <c r="I3" s="7"/>
    </row>
    <row r="4" spans="1:9" ht="33" customHeight="1" x14ac:dyDescent="0.3">
      <c r="A4" s="2"/>
      <c r="B4" s="7"/>
      <c r="C4" s="7"/>
      <c r="D4" s="7"/>
      <c r="E4" s="7"/>
      <c r="F4" s="10"/>
      <c r="G4" s="10"/>
      <c r="H4" s="7"/>
      <c r="I4" s="7"/>
    </row>
    <row r="5" spans="1:9" ht="15.75" customHeight="1" x14ac:dyDescent="0.3">
      <c r="A5" s="2"/>
      <c r="B5" s="7"/>
      <c r="C5" s="7"/>
      <c r="D5" s="7"/>
      <c r="E5" s="7"/>
      <c r="F5" s="151">
        <f>A29</f>
        <v>45939</v>
      </c>
      <c r="G5" s="152"/>
      <c r="H5" s="7"/>
      <c r="I5" s="7"/>
    </row>
    <row r="6" spans="1:9" ht="15.75" customHeight="1" x14ac:dyDescent="0.3">
      <c r="A6" s="7"/>
      <c r="B6" s="7"/>
      <c r="C6" s="7"/>
      <c r="D6" s="7"/>
      <c r="E6" s="7"/>
      <c r="F6" s="6"/>
      <c r="G6" s="7"/>
      <c r="H6" s="7"/>
      <c r="I6" s="7"/>
    </row>
    <row r="7" spans="1:9" ht="15.75" customHeight="1" x14ac:dyDescent="0.3">
      <c r="A7" s="2"/>
      <c r="B7" s="7"/>
      <c r="C7" s="7"/>
      <c r="E7" s="19" t="s">
        <v>88</v>
      </c>
      <c r="F7" s="7"/>
      <c r="G7" s="7"/>
      <c r="H7" s="7"/>
      <c r="I7" s="7"/>
    </row>
    <row r="8" spans="1:9" s="87" customFormat="1" ht="18.75" customHeight="1" x14ac:dyDescent="0.3">
      <c r="C8" s="78" t="s">
        <v>89</v>
      </c>
      <c r="E8" s="88"/>
      <c r="F8" s="88"/>
      <c r="G8" s="88"/>
      <c r="H8" s="88"/>
      <c r="I8" s="88"/>
    </row>
    <row r="9" spans="1:9" ht="18.75" customHeight="1" x14ac:dyDescent="0.3">
      <c r="E9" s="7"/>
      <c r="F9" s="7"/>
      <c r="G9" s="7"/>
      <c r="H9" s="7"/>
      <c r="I9" s="7"/>
    </row>
    <row r="10" spans="1:9" ht="18.75" customHeight="1" x14ac:dyDescent="0.3">
      <c r="A10" s="7" t="s">
        <v>90</v>
      </c>
      <c r="B10" s="7"/>
      <c r="C10" s="7"/>
      <c r="D10" s="146" t="str">
        <f>Лист2!B17</f>
        <v>М., тверская ,2</v>
      </c>
      <c r="E10" s="142"/>
      <c r="F10" s="142"/>
      <c r="G10" s="142"/>
      <c r="H10" s="142"/>
      <c r="I10" s="7"/>
    </row>
    <row r="11" spans="1:9" ht="15.75" customHeight="1" x14ac:dyDescent="0.3">
      <c r="A11" s="15" t="s">
        <v>91</v>
      </c>
      <c r="B11" s="7"/>
      <c r="C11" s="7"/>
      <c r="D11" s="141" t="str">
        <f>Лист2!D9</f>
        <v>10.10.25</v>
      </c>
      <c r="E11" s="142"/>
      <c r="F11" s="142"/>
      <c r="G11" s="7"/>
      <c r="H11" s="7"/>
    </row>
    <row r="12" spans="1:9" ht="15.75" customHeight="1" x14ac:dyDescent="0.3">
      <c r="A12" s="13" t="s">
        <v>25</v>
      </c>
      <c r="B12" s="7"/>
      <c r="C12" s="7"/>
      <c r="D12" s="153">
        <f>Лист2!B18</f>
        <v>2</v>
      </c>
      <c r="E12" s="144"/>
      <c r="F12" s="144"/>
      <c r="G12" s="7"/>
      <c r="H12" s="7"/>
    </row>
    <row r="13" spans="1:9" x14ac:dyDescent="0.25">
      <c r="D13" s="12"/>
    </row>
    <row r="14" spans="1:9" ht="27.75" customHeight="1" x14ac:dyDescent="0.3">
      <c r="A14" s="66" t="s">
        <v>92</v>
      </c>
      <c r="B14" s="154" t="s">
        <v>93</v>
      </c>
      <c r="C14" s="144"/>
      <c r="D14" s="144"/>
      <c r="E14" s="144"/>
      <c r="F14" s="145"/>
      <c r="G14" s="158" t="s">
        <v>27</v>
      </c>
      <c r="H14" s="145"/>
    </row>
    <row r="15" spans="1:9" ht="30.75" customHeight="1" x14ac:dyDescent="0.3">
      <c r="A15" s="63">
        <v>1</v>
      </c>
      <c r="B15" s="161" t="str">
        <f>Лист2!B21</f>
        <v>организация деловой встречи</v>
      </c>
      <c r="C15" s="144"/>
      <c r="D15" s="144"/>
      <c r="E15" s="144"/>
      <c r="F15" s="145"/>
      <c r="G15" s="148">
        <f>Лист2!C21</f>
        <v>4000</v>
      </c>
      <c r="H15" s="145"/>
    </row>
    <row r="16" spans="1:9" ht="30.75" customHeight="1" x14ac:dyDescent="0.3">
      <c r="A16" s="63">
        <v>2</v>
      </c>
      <c r="B16" s="143" t="str">
        <f>Лист2!B22</f>
        <v>-</v>
      </c>
      <c r="C16" s="144"/>
      <c r="D16" s="144"/>
      <c r="E16" s="144"/>
      <c r="F16" s="145"/>
      <c r="G16" s="148">
        <f>Лист2!C22</f>
        <v>0</v>
      </c>
      <c r="H16" s="145"/>
    </row>
    <row r="17" spans="1:8" ht="30.75" customHeight="1" x14ac:dyDescent="0.3">
      <c r="A17" s="63">
        <v>3</v>
      </c>
      <c r="B17" s="143" t="str">
        <f>Лист2!B23</f>
        <v>-</v>
      </c>
      <c r="C17" s="144"/>
      <c r="D17" s="144"/>
      <c r="E17" s="144"/>
      <c r="F17" s="145"/>
      <c r="G17" s="148" t="str">
        <f>Лист2!C23</f>
        <v>-</v>
      </c>
      <c r="H17" s="145"/>
    </row>
    <row r="18" spans="1:8" ht="30.75" customHeight="1" x14ac:dyDescent="0.3">
      <c r="A18" s="63">
        <v>4</v>
      </c>
      <c r="B18" s="143" t="str">
        <f>Лист2!B24</f>
        <v>-</v>
      </c>
      <c r="C18" s="144"/>
      <c r="D18" s="144"/>
      <c r="E18" s="144"/>
      <c r="F18" s="145"/>
      <c r="G18" s="148" t="str">
        <f>Лист2!C24</f>
        <v>-</v>
      </c>
      <c r="H18" s="145"/>
    </row>
    <row r="19" spans="1:8" ht="30.75" customHeight="1" x14ac:dyDescent="0.3">
      <c r="A19" s="63">
        <v>5</v>
      </c>
      <c r="B19" s="143" t="str">
        <f>Лист2!B25</f>
        <v>-</v>
      </c>
      <c r="C19" s="144"/>
      <c r="D19" s="144"/>
      <c r="E19" s="144"/>
      <c r="F19" s="145"/>
      <c r="G19" s="148" t="str">
        <f>Лист2!C25</f>
        <v>-</v>
      </c>
      <c r="H19" s="145"/>
    </row>
    <row r="20" spans="1:8" ht="21.75" customHeight="1" x14ac:dyDescent="0.3">
      <c r="A20" s="159" t="s">
        <v>94</v>
      </c>
      <c r="B20" s="156"/>
      <c r="C20" s="156"/>
      <c r="D20" s="156"/>
      <c r="E20" s="156"/>
      <c r="F20" s="17"/>
      <c r="G20" s="148">
        <f>Лист2!C26</f>
        <v>4000</v>
      </c>
      <c r="H20" s="145"/>
    </row>
    <row r="21" spans="1:8" s="78" customFormat="1" x14ac:dyDescent="0.25">
      <c r="A21" s="76" t="s">
        <v>95</v>
      </c>
      <c r="B21" s="149">
        <f>G20</f>
        <v>4000</v>
      </c>
      <c r="C21" s="150"/>
      <c r="D21" s="77" t="str">
        <f>Лист2!B27</f>
        <v>четыре тысячи рублей 00 копеек</v>
      </c>
      <c r="E21" s="77"/>
      <c r="F21" s="77"/>
      <c r="G21" s="77"/>
      <c r="H21" s="77"/>
    </row>
    <row r="23" spans="1:8" x14ac:dyDescent="0.25">
      <c r="A23" s="20" t="s">
        <v>96</v>
      </c>
    </row>
    <row r="24" spans="1:8" ht="60" customHeight="1" x14ac:dyDescent="0.25">
      <c r="A24" s="18"/>
      <c r="D24" s="160" t="str">
        <f>Лист2!C5</f>
        <v>Заместитель Генерального директора – Руководитель Аппарата</v>
      </c>
      <c r="E24" s="156"/>
      <c r="H24" s="16" t="str">
        <f>Лист2!B5</f>
        <v>Савин В.О.</v>
      </c>
    </row>
    <row r="25" spans="1:8" x14ac:dyDescent="0.25">
      <c r="D25" s="22" t="s">
        <v>97</v>
      </c>
      <c r="E25" s="23"/>
      <c r="F25" s="22" t="s">
        <v>98</v>
      </c>
      <c r="H25" s="22" t="s">
        <v>99</v>
      </c>
    </row>
    <row r="26" spans="1:8" ht="14.4" customHeight="1" x14ac:dyDescent="0.25">
      <c r="D26" s="157" t="str">
        <f>Лист2!C6</f>
        <v>Руководитель направления контроля за исполнением отдельных поручений </v>
      </c>
      <c r="E26" s="156"/>
    </row>
    <row r="27" spans="1:8" ht="46.2" customHeight="1" x14ac:dyDescent="0.25">
      <c r="A27" s="13" t="s">
        <v>100</v>
      </c>
      <c r="D27" s="156"/>
      <c r="E27" s="156"/>
      <c r="H27" s="16" t="str">
        <f>Лист2!B6</f>
        <v>Мищенко Н.А.</v>
      </c>
    </row>
    <row r="28" spans="1:8" x14ac:dyDescent="0.25">
      <c r="D28" s="22" t="s">
        <v>97</v>
      </c>
      <c r="E28" s="23"/>
      <c r="F28" s="22" t="s">
        <v>98</v>
      </c>
      <c r="G28" s="21"/>
      <c r="H28" s="22" t="s">
        <v>99</v>
      </c>
    </row>
    <row r="29" spans="1:8" x14ac:dyDescent="0.25">
      <c r="A29" s="155">
        <f>Лист2!B29</f>
        <v>45939</v>
      </c>
      <c r="B29" s="156"/>
      <c r="C29" s="156"/>
    </row>
    <row r="31" spans="1:8" x14ac:dyDescent="0.25">
      <c r="A31" s="20"/>
      <c r="B31" s="16"/>
      <c r="C31" s="16"/>
      <c r="D31" s="16"/>
    </row>
    <row r="32" spans="1:8" x14ac:dyDescent="0.25">
      <c r="A32" s="20"/>
      <c r="B32" s="16"/>
      <c r="C32" s="16"/>
      <c r="D32" s="16"/>
    </row>
    <row r="33" spans="4:8" ht="14.4" customHeight="1" x14ac:dyDescent="0.25">
      <c r="D33" s="94"/>
      <c r="E33" s="94"/>
      <c r="F33" s="16"/>
      <c r="G33" s="16"/>
      <c r="H33" s="16"/>
    </row>
    <row r="34" spans="4:8" x14ac:dyDescent="0.25">
      <c r="D34" s="23"/>
      <c r="E34" s="23"/>
      <c r="F34" s="23"/>
      <c r="G34" s="21"/>
      <c r="H34" s="23"/>
    </row>
  </sheetData>
  <mergeCells count="24">
    <mergeCell ref="A29:C29"/>
    <mergeCell ref="G18:H18"/>
    <mergeCell ref="B17:F17"/>
    <mergeCell ref="D26:E27"/>
    <mergeCell ref="G15:H15"/>
    <mergeCell ref="B19:F19"/>
    <mergeCell ref="G20:H20"/>
    <mergeCell ref="A20:E20"/>
    <mergeCell ref="D24:E24"/>
    <mergeCell ref="G16:H16"/>
    <mergeCell ref="B15:F15"/>
    <mergeCell ref="B18:F18"/>
    <mergeCell ref="B21:C21"/>
    <mergeCell ref="F5:G5"/>
    <mergeCell ref="G19:H19"/>
    <mergeCell ref="D12:F12"/>
    <mergeCell ref="B14:F14"/>
    <mergeCell ref="G14:H14"/>
    <mergeCell ref="D11:F11"/>
    <mergeCell ref="B16:F16"/>
    <mergeCell ref="D10:H10"/>
    <mergeCell ref="F2:H2"/>
    <mergeCell ref="G17:H17"/>
    <mergeCell ref="F3:H3"/>
  </mergeCells>
  <pageMargins left="0.7" right="0.7" top="0.75" bottom="0.75" header="0.3" footer="0.3"/>
  <pageSetup paperSize="9" scale="9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H35"/>
  <sheetViews>
    <sheetView view="pageBreakPreview" topLeftCell="A13" zoomScale="70" zoomScaleNormal="100" zoomScaleSheetLayoutView="70" workbookViewId="0">
      <selection activeCell="F30" sqref="F30"/>
    </sheetView>
  </sheetViews>
  <sheetFormatPr defaultColWidth="9.109375" defaultRowHeight="15.6" x14ac:dyDescent="0.3"/>
  <cols>
    <col min="1" max="1" width="12.109375" style="7" customWidth="1"/>
    <col min="2" max="2" width="7.109375" style="7" customWidth="1"/>
    <col min="3" max="3" width="5.88671875" style="7" customWidth="1"/>
    <col min="4" max="4" width="15.33203125" style="7" customWidth="1"/>
    <col min="5" max="5" width="6.5546875" style="7" customWidth="1"/>
    <col min="6" max="6" width="20" style="7" customWidth="1"/>
    <col min="7" max="7" width="6.109375" style="7" customWidth="1"/>
    <col min="8" max="8" width="18.5546875" style="7" customWidth="1"/>
    <col min="9" max="12" width="9.109375" style="7" customWidth="1"/>
    <col min="13" max="16384" width="9.109375" style="7"/>
  </cols>
  <sheetData>
    <row r="1" spans="1:8" x14ac:dyDescent="0.3">
      <c r="A1" s="1"/>
      <c r="F1" s="7" t="s">
        <v>0</v>
      </c>
    </row>
    <row r="2" spans="1:8" ht="33.75" customHeight="1" x14ac:dyDescent="0.3">
      <c r="A2" s="1"/>
      <c r="F2" s="147" t="str">
        <f>IF(ISBLANK(Лист2!B2),"_",Лист2!B2)</f>
        <v>Заместитель Генерального директора по экономике и финансам</v>
      </c>
      <c r="G2" s="142"/>
      <c r="H2" s="142"/>
    </row>
    <row r="3" spans="1:8" x14ac:dyDescent="0.3">
      <c r="A3" s="2"/>
      <c r="F3" s="162" t="str">
        <f>IF(ISBLANK(Лист2!B3),"_",Лист2!B3)</f>
        <v>Акакин Д.В.</v>
      </c>
      <c r="G3" s="142"/>
      <c r="H3" s="142"/>
    </row>
    <row r="4" spans="1:8" ht="30" customHeight="1" x14ac:dyDescent="0.3">
      <c r="A4" s="2"/>
      <c r="F4" s="10"/>
      <c r="G4" s="10"/>
    </row>
    <row r="5" spans="1:8" x14ac:dyDescent="0.3">
      <c r="A5" s="2"/>
      <c r="F5" s="74">
        <f>Лист2!B29</f>
        <v>45939</v>
      </c>
    </row>
    <row r="6" spans="1:8" x14ac:dyDescent="0.3">
      <c r="F6" s="6"/>
    </row>
    <row r="7" spans="1:8" x14ac:dyDescent="0.3">
      <c r="A7" s="2"/>
      <c r="E7" s="19" t="s">
        <v>101</v>
      </c>
    </row>
    <row r="8" spans="1:8" s="88" customFormat="1" ht="18.75" customHeight="1" x14ac:dyDescent="0.3">
      <c r="C8" s="165" t="s">
        <v>102</v>
      </c>
      <c r="D8" s="166"/>
      <c r="E8" s="166"/>
      <c r="F8" s="166"/>
    </row>
    <row r="9" spans="1:8" ht="18.75" customHeight="1" x14ac:dyDescent="0.3">
      <c r="C9" s="11"/>
    </row>
    <row r="10" spans="1:8" ht="15.75" customHeight="1" x14ac:dyDescent="0.3">
      <c r="A10" s="7" t="s">
        <v>103</v>
      </c>
      <c r="D10" s="15" t="str">
        <f>Лист2!B33</f>
        <v>РОССЕТИ</v>
      </c>
    </row>
    <row r="11" spans="1:8" ht="19.5" customHeight="1" x14ac:dyDescent="0.3">
      <c r="A11" s="7" t="s">
        <v>43</v>
      </c>
      <c r="D11" s="169" t="str">
        <f>Лист2!B34</f>
        <v>ВСТРЕЧА</v>
      </c>
      <c r="E11" s="170"/>
      <c r="F11" s="170"/>
      <c r="G11" s="170"/>
      <c r="H11" s="170"/>
    </row>
    <row r="12" spans="1:8" ht="15.75" customHeight="1" x14ac:dyDescent="0.3">
      <c r="A12" s="7" t="s">
        <v>104</v>
      </c>
      <c r="D12" s="65" t="str">
        <f>Лист2!D9</f>
        <v>10.10.25</v>
      </c>
    </row>
    <row r="13" spans="1:8" ht="15.75" customHeight="1" x14ac:dyDescent="0.3">
      <c r="A13" s="7" t="s">
        <v>90</v>
      </c>
      <c r="D13" s="15" t="str">
        <f>Лист2!B17</f>
        <v>М., тверская ,2</v>
      </c>
    </row>
    <row r="14" spans="1:8" ht="15.75" customHeight="1" x14ac:dyDescent="0.3">
      <c r="A14" s="3" t="s">
        <v>105</v>
      </c>
    </row>
    <row r="15" spans="1:8" s="31" customFormat="1" ht="47.25" customHeight="1" x14ac:dyDescent="0.3">
      <c r="A15" s="163" t="str">
        <f>Лист2!C5</f>
        <v>Заместитель Генерального директора – Руководитель Аппарата</v>
      </c>
      <c r="B15" s="164"/>
      <c r="C15" s="164"/>
      <c r="D15" s="164"/>
      <c r="E15" s="164"/>
      <c r="F15" s="167" t="str">
        <f>Лист2!B5</f>
        <v>Савин В.О.</v>
      </c>
      <c r="G15" s="164"/>
      <c r="H15" s="164"/>
    </row>
    <row r="16" spans="1:8" s="31" customFormat="1" ht="47.25" customHeight="1" x14ac:dyDescent="0.3">
      <c r="A16" s="163" t="str">
        <f>IF(ISBLANK(Лист2!B37),"-",CONCATENATE(Лист2!B37," ",Лист2!B33))</f>
        <v>директор РОССЕТИ</v>
      </c>
      <c r="B16" s="164"/>
      <c r="C16" s="164"/>
      <c r="D16" s="164"/>
      <c r="E16" s="125"/>
      <c r="F16" s="167" t="str">
        <f>IF(ISBLANK(Лист2!A37),"-",Лист2!A37)</f>
        <v>Иванова И,А.</v>
      </c>
      <c r="G16" s="164"/>
      <c r="H16" s="164"/>
    </row>
    <row r="17" spans="1:8" s="31" customFormat="1" ht="38.25" customHeight="1" x14ac:dyDescent="0.3">
      <c r="A17" s="163" t="str">
        <f>IF(ISBLANK(Лист2!B38),"-",CONCATENATE(Лист2!B38," ",Лист2!B34))</f>
        <v>-</v>
      </c>
      <c r="B17" s="164"/>
      <c r="C17" s="164"/>
      <c r="D17" s="164"/>
      <c r="E17" s="120"/>
      <c r="F17" s="167" t="str">
        <f>IF(ISBLANK(Лист2!A38),"-",Лист2!A38)</f>
        <v>-</v>
      </c>
      <c r="G17" s="164"/>
      <c r="H17" s="164"/>
    </row>
    <row r="18" spans="1:8" s="31" customFormat="1" ht="38.25" customHeight="1" x14ac:dyDescent="0.3">
      <c r="A18" s="163" t="str">
        <f>IF(ISBLANK(Лист2!B39),"-",CONCATENATE(Лист2!B39," ",Лист2!B35))</f>
        <v>-</v>
      </c>
      <c r="B18" s="164"/>
      <c r="C18" s="164"/>
      <c r="D18" s="164"/>
      <c r="F18" s="167" t="str">
        <f>IF(ISBLANK(Лист2!A39),"-",Лист2!A39)</f>
        <v>-</v>
      </c>
      <c r="G18" s="164"/>
      <c r="H18" s="164"/>
    </row>
    <row r="19" spans="1:8" s="31" customFormat="1" ht="38.25" customHeight="1" x14ac:dyDescent="0.3">
      <c r="A19" s="163" t="str">
        <f>IF(ISBLANK(Лист2!B40),"-",CONCATENATE(Лист2!B40," ",Лист2!B36))</f>
        <v>-</v>
      </c>
      <c r="B19" s="164"/>
      <c r="C19" s="164"/>
      <c r="D19" s="164"/>
      <c r="F19" s="167" t="str">
        <f>IF(ISBLANK(Лист2!A40),"-",Лист2!A40)</f>
        <v>-</v>
      </c>
      <c r="G19" s="164"/>
      <c r="H19" s="164"/>
    </row>
    <row r="20" spans="1:8" ht="15.75" customHeight="1" x14ac:dyDescent="0.3">
      <c r="A20" s="3"/>
    </row>
    <row r="21" spans="1:8" x14ac:dyDescent="0.3">
      <c r="A21" s="3" t="s">
        <v>106</v>
      </c>
      <c r="D21" s="68"/>
      <c r="E21" s="14"/>
      <c r="F21" s="62"/>
    </row>
    <row r="22" spans="1:8" x14ac:dyDescent="0.3">
      <c r="D22" s="3"/>
    </row>
    <row r="23" spans="1:8" x14ac:dyDescent="0.3">
      <c r="A23" s="26" t="s">
        <v>14</v>
      </c>
      <c r="B23" s="171" t="s">
        <v>107</v>
      </c>
      <c r="C23" s="145"/>
      <c r="D23" s="171" t="s">
        <v>47</v>
      </c>
      <c r="E23" s="144"/>
      <c r="F23" s="144"/>
      <c r="G23" s="144"/>
      <c r="H23" s="145"/>
    </row>
    <row r="24" spans="1:8" ht="30" customHeight="1" x14ac:dyDescent="0.3">
      <c r="A24" s="69" t="str">
        <f>IF(Лист2!D9&gt;DATEVALUE("31.01.2024"),Лист2!D9,"-")</f>
        <v>10.10.25</v>
      </c>
      <c r="B24" s="173">
        <f>IF(Лист2!E8&gt;0,Лист2!E9-0.85,"-")</f>
        <v>11.15</v>
      </c>
      <c r="C24" s="145"/>
      <c r="D24" s="174" t="s">
        <v>108</v>
      </c>
      <c r="E24" s="144"/>
      <c r="F24" s="144"/>
      <c r="G24" s="144"/>
      <c r="H24" s="145"/>
    </row>
    <row r="25" spans="1:8" ht="81" customHeight="1" x14ac:dyDescent="0.3">
      <c r="A25" s="69" t="str">
        <f>IF(Лист2!D9&gt;DATEVALUE("31.01.2024"),Лист2!D9,"-")</f>
        <v>10.10.25</v>
      </c>
      <c r="B25" s="168">
        <f>IF(Лист2!E8&gt;0,Лист2!E9-0.7,"-")</f>
        <v>11.3</v>
      </c>
      <c r="C25" s="145"/>
      <c r="D25" s="174" t="str">
        <f>IF(ISBLANK(Лист2!C37),"Проведение встречи с переговорами",CONCATENATE("Проведение встречи с переговорами по теме: «",Лист2!C37,"»"))</f>
        <v>Проведение встречи с переговорами по теме: «ДОГОВОР»</v>
      </c>
      <c r="E25" s="144"/>
      <c r="F25" s="144"/>
      <c r="G25" s="144"/>
      <c r="H25" s="145"/>
    </row>
    <row r="26" spans="1:8" ht="30" customHeight="1" x14ac:dyDescent="0.3">
      <c r="A26" s="69" t="str">
        <f>IF(Лист2!D9&gt;DATEVALUE("31.01.2024"),Лист2!D9,"-")</f>
        <v>10.10.25</v>
      </c>
      <c r="B26" s="168">
        <f>IF(Лист2!E9&gt;0,Лист2!E9,"-")</f>
        <v>12</v>
      </c>
      <c r="C26" s="145"/>
      <c r="D26" s="174" t="s">
        <v>109</v>
      </c>
      <c r="E26" s="144"/>
      <c r="F26" s="144"/>
      <c r="G26" s="144"/>
      <c r="H26" s="145"/>
    </row>
    <row r="28" spans="1:8" s="31" customFormat="1" x14ac:dyDescent="0.3">
      <c r="A28" s="79" t="s">
        <v>110</v>
      </c>
    </row>
    <row r="29" spans="1:8" s="31" customFormat="1" ht="37.5" customHeight="1" x14ac:dyDescent="0.3">
      <c r="A29" s="90"/>
      <c r="D29" s="91"/>
      <c r="F29" s="31" t="str">
        <f>Лист2!B5</f>
        <v>Савин В.О.</v>
      </c>
    </row>
    <row r="30" spans="1:8" s="31" customFormat="1" x14ac:dyDescent="0.3">
      <c r="D30" s="92" t="s">
        <v>98</v>
      </c>
      <c r="E30" s="93"/>
      <c r="F30" s="92" t="s">
        <v>99</v>
      </c>
    </row>
    <row r="31" spans="1:8" x14ac:dyDescent="0.3">
      <c r="A31" s="3"/>
    </row>
    <row r="32" spans="1:8" x14ac:dyDescent="0.3">
      <c r="A32" s="97"/>
    </row>
    <row r="33" spans="1:5" x14ac:dyDescent="0.3">
      <c r="D33" s="98"/>
    </row>
    <row r="34" spans="1:5" x14ac:dyDescent="0.3">
      <c r="B34" s="98"/>
      <c r="D34" s="71"/>
      <c r="E34" s="71"/>
    </row>
    <row r="35" spans="1:5" x14ac:dyDescent="0.3">
      <c r="A35" s="172"/>
      <c r="B35" s="170"/>
    </row>
  </sheetData>
  <mergeCells count="23">
    <mergeCell ref="A35:B35"/>
    <mergeCell ref="F16:H16"/>
    <mergeCell ref="B24:C24"/>
    <mergeCell ref="D25:H25"/>
    <mergeCell ref="A18:D18"/>
    <mergeCell ref="F19:H19"/>
    <mergeCell ref="D24:H24"/>
    <mergeCell ref="D23:H23"/>
    <mergeCell ref="B26:C26"/>
    <mergeCell ref="D26:H26"/>
    <mergeCell ref="F2:H2"/>
    <mergeCell ref="F17:H17"/>
    <mergeCell ref="A19:D19"/>
    <mergeCell ref="D11:H11"/>
    <mergeCell ref="B23:C23"/>
    <mergeCell ref="A16:D16"/>
    <mergeCell ref="F3:H3"/>
    <mergeCell ref="F15:H15"/>
    <mergeCell ref="A17:D17"/>
    <mergeCell ref="C8:F8"/>
    <mergeCell ref="F18:H18"/>
    <mergeCell ref="B25:C25"/>
    <mergeCell ref="A15:E15"/>
  </mergeCells>
  <pageMargins left="0.7" right="0.7" top="0.75" bottom="0.75" header="0.3" footer="0.3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pageSetUpPr fitToPage="1"/>
  </sheetPr>
  <dimension ref="A1:BJ72"/>
  <sheetViews>
    <sheetView view="pageBreakPreview" topLeftCell="A57" zoomScale="115" zoomScaleNormal="115" zoomScaleSheetLayoutView="115" workbookViewId="0">
      <selection activeCell="P69" sqref="P69:X69"/>
    </sheetView>
  </sheetViews>
  <sheetFormatPr defaultColWidth="1.6640625" defaultRowHeight="14.4" x14ac:dyDescent="0.3"/>
  <cols>
    <col min="7" max="7" width="0.6640625" customWidth="1"/>
    <col min="9" max="9" width="2" customWidth="1"/>
    <col min="12" max="12" width="1.44140625" customWidth="1"/>
    <col min="13" max="13" width="1.5546875" customWidth="1"/>
    <col min="14" max="14" width="2.6640625" customWidth="1"/>
    <col min="15" max="15" width="3" customWidth="1"/>
    <col min="18" max="18" width="2.88671875" customWidth="1"/>
    <col min="20" max="20" width="2.109375" customWidth="1"/>
    <col min="22" max="22" width="4.5546875" customWidth="1"/>
    <col min="23" max="23" width="0.44140625" customWidth="1"/>
    <col min="24" max="24" width="1.6640625" hidden="1" customWidth="1"/>
    <col min="32" max="32" width="1.33203125" customWidth="1"/>
    <col min="33" max="33" width="1.44140625" customWidth="1"/>
    <col min="34" max="34" width="3.6640625" customWidth="1"/>
    <col min="36" max="36" width="1.33203125" customWidth="1"/>
    <col min="43" max="43" width="3.33203125" customWidth="1"/>
    <col min="45" max="46" width="1.33203125" customWidth="1"/>
    <col min="47" max="47" width="2.109375" customWidth="1"/>
    <col min="49" max="49" width="1" customWidth="1"/>
    <col min="52" max="52" width="2.44140625" customWidth="1"/>
    <col min="53" max="53" width="0.6640625" customWidth="1"/>
    <col min="54" max="54" width="2" customWidth="1"/>
    <col min="55" max="55" width="1.88671875" customWidth="1"/>
    <col min="56" max="56" width="1.44140625" customWidth="1"/>
    <col min="57" max="57" width="0.6640625" customWidth="1"/>
    <col min="58" max="58" width="1.44140625" customWidth="1"/>
  </cols>
  <sheetData>
    <row r="1" spans="1:55" ht="30" hidden="1" customHeight="1" x14ac:dyDescent="0.3">
      <c r="AI1" s="217" t="s">
        <v>111</v>
      </c>
      <c r="AJ1" s="186"/>
      <c r="AK1" s="186"/>
      <c r="AL1" s="186"/>
      <c r="AM1" s="186"/>
      <c r="AN1" s="186"/>
      <c r="AO1" s="186"/>
      <c r="AP1" s="186"/>
      <c r="AQ1" s="186"/>
      <c r="AR1" s="186"/>
      <c r="AS1" s="186"/>
      <c r="AT1" s="186"/>
      <c r="AU1" s="186"/>
      <c r="AV1" s="186"/>
      <c r="AW1" s="186"/>
      <c r="AX1" s="186"/>
      <c r="AY1" s="186"/>
      <c r="AZ1" s="186"/>
      <c r="BA1" s="186"/>
      <c r="BB1" s="186"/>
      <c r="BC1" s="186"/>
    </row>
    <row r="2" spans="1:55" ht="11.25" hidden="1" customHeight="1" x14ac:dyDescent="0.3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H2" s="27"/>
      <c r="AI2" s="33" t="s">
        <v>112</v>
      </c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27"/>
      <c r="BA2" s="27"/>
      <c r="BB2" s="27"/>
      <c r="BC2" s="27"/>
    </row>
    <row r="3" spans="1:55" ht="11.25" hidden="1" customHeight="1" x14ac:dyDescent="0.3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G3" s="34"/>
      <c r="AH3" s="34"/>
      <c r="AI3" s="33" t="s">
        <v>113</v>
      </c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27"/>
      <c r="BA3" s="27"/>
      <c r="BB3" s="27"/>
      <c r="BC3" s="27"/>
    </row>
    <row r="4" spans="1:55" ht="11.25" hidden="1" customHeight="1" x14ac:dyDescent="0.3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G4" s="34"/>
      <c r="AH4" s="34"/>
      <c r="AI4" s="33" t="s">
        <v>114</v>
      </c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27"/>
      <c r="BA4" s="27"/>
      <c r="BB4" s="27"/>
      <c r="BC4" s="27"/>
    </row>
    <row r="5" spans="1:55" ht="8.1" hidden="1" customHeight="1" x14ac:dyDescent="0.3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H5" s="27"/>
      <c r="AI5" s="27"/>
      <c r="AJ5" s="27"/>
      <c r="AK5" s="27"/>
      <c r="AL5" s="27"/>
      <c r="AM5" s="35"/>
      <c r="AN5" s="35"/>
      <c r="AO5" s="35"/>
      <c r="AP5" s="35"/>
      <c r="AQ5" s="35"/>
      <c r="AR5" s="35"/>
      <c r="AS5" s="35"/>
      <c r="AU5" s="36"/>
      <c r="AV5" s="36"/>
      <c r="AW5" s="36"/>
      <c r="AX5" s="36"/>
      <c r="AY5" s="36"/>
      <c r="AZ5" s="36"/>
      <c r="BA5" s="36"/>
      <c r="BB5" s="36"/>
      <c r="BC5" s="36"/>
    </row>
    <row r="6" spans="1:55" hidden="1" x14ac:dyDescent="0.3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N6" s="27"/>
      <c r="AO6" s="27"/>
      <c r="AP6" s="27"/>
      <c r="AQ6" s="27"/>
      <c r="AR6" s="27"/>
      <c r="AS6" s="27"/>
      <c r="AT6" s="27"/>
      <c r="AU6" s="204"/>
      <c r="AV6" s="186"/>
      <c r="AW6" s="186"/>
      <c r="AX6" s="186"/>
      <c r="AY6" s="186"/>
      <c r="AZ6" s="186"/>
      <c r="BA6" s="186"/>
      <c r="BB6" s="27"/>
      <c r="BC6" s="27"/>
    </row>
    <row r="7" spans="1:55" hidden="1" x14ac:dyDescent="0.3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AN7" s="34"/>
      <c r="AO7" s="34"/>
      <c r="AP7" s="34"/>
      <c r="AQ7" s="34"/>
      <c r="AR7" s="34"/>
      <c r="AS7" s="34"/>
      <c r="AT7" s="34"/>
      <c r="AU7" s="222"/>
      <c r="AV7" s="186"/>
      <c r="AW7" s="186"/>
      <c r="AX7" s="186"/>
      <c r="AY7" s="186"/>
      <c r="AZ7" s="186"/>
      <c r="BA7" s="186"/>
      <c r="BB7" s="27"/>
      <c r="BC7" s="27"/>
    </row>
    <row r="8" spans="1:55" hidden="1" x14ac:dyDescent="0.3">
      <c r="A8" s="218" t="s">
        <v>115</v>
      </c>
      <c r="B8" s="142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N8" s="27"/>
      <c r="AO8" s="27"/>
      <c r="AP8" s="185"/>
      <c r="AQ8" s="186"/>
      <c r="AR8" s="186"/>
      <c r="AS8" s="186"/>
      <c r="AT8" s="186"/>
      <c r="AU8" s="222"/>
      <c r="AV8" s="186"/>
      <c r="AW8" s="186"/>
      <c r="AX8" s="186"/>
      <c r="AY8" s="186"/>
      <c r="AZ8" s="186"/>
      <c r="BA8" s="186"/>
      <c r="BB8" s="27"/>
      <c r="BC8" s="27"/>
    </row>
    <row r="9" spans="1:55" ht="9.9" hidden="1" customHeight="1" x14ac:dyDescent="0.3">
      <c r="A9" s="220"/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52"/>
      <c r="AJ9" s="152"/>
      <c r="AK9" s="152"/>
      <c r="AL9" s="152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</row>
    <row r="10" spans="1:55" s="27" customFormat="1" ht="12.75" hidden="1" customHeight="1" x14ac:dyDescent="0.25">
      <c r="AJ10" s="179" t="s">
        <v>0</v>
      </c>
      <c r="AK10" s="180"/>
      <c r="AL10" s="180"/>
      <c r="AM10" s="180"/>
      <c r="AN10" s="180"/>
      <c r="AO10" s="180"/>
      <c r="AP10" s="180"/>
      <c r="AQ10" s="180"/>
    </row>
    <row r="11" spans="1:55" s="27" customFormat="1" ht="12.75" hidden="1" customHeight="1" x14ac:dyDescent="0.3">
      <c r="AJ11" s="179" t="s">
        <v>116</v>
      </c>
      <c r="AK11" s="180"/>
      <c r="AL11" s="180"/>
      <c r="AM11" s="180"/>
      <c r="AN11" s="180"/>
      <c r="AO11" s="180"/>
      <c r="AP11" s="180"/>
      <c r="AQ11" s="212"/>
      <c r="AR11" s="142"/>
      <c r="AS11" s="142"/>
      <c r="AT11" s="142"/>
      <c r="AU11" s="142"/>
      <c r="AV11" s="142"/>
      <c r="AW11" s="142"/>
      <c r="AX11" s="142"/>
      <c r="AY11" s="142"/>
      <c r="AZ11" s="142"/>
      <c r="BA11" s="142"/>
      <c r="BB11" s="142"/>
      <c r="BC11" s="142"/>
    </row>
    <row r="12" spans="1:55" s="27" customFormat="1" ht="12.75" hidden="1" customHeight="1" x14ac:dyDescent="0.3">
      <c r="AJ12" s="212"/>
      <c r="AK12" s="142"/>
      <c r="AL12" s="142"/>
      <c r="AM12" s="142"/>
      <c r="AN12" s="142"/>
      <c r="AO12" s="142"/>
      <c r="AP12" s="142"/>
      <c r="AQ12" s="142"/>
      <c r="AR12" s="142"/>
      <c r="AS12" s="142"/>
      <c r="AT12" s="142"/>
      <c r="AU12" s="223" t="s">
        <v>117</v>
      </c>
      <c r="AV12" s="152"/>
      <c r="AW12" s="152"/>
      <c r="AX12" s="196"/>
      <c r="AY12" s="142"/>
      <c r="AZ12" s="142"/>
      <c r="BA12" s="223" t="s">
        <v>118</v>
      </c>
      <c r="BB12" s="152"/>
      <c r="BC12" s="152"/>
    </row>
    <row r="13" spans="1:55" s="27" customFormat="1" ht="17.25" hidden="1" customHeight="1" x14ac:dyDescent="0.3">
      <c r="U13" s="200" t="s">
        <v>13</v>
      </c>
      <c r="V13" s="144"/>
      <c r="W13" s="144"/>
      <c r="X13" s="144"/>
      <c r="Y13" s="145"/>
      <c r="Z13" s="200" t="s">
        <v>14</v>
      </c>
      <c r="AA13" s="144"/>
      <c r="AB13" s="144"/>
      <c r="AC13" s="144"/>
      <c r="AD13" s="144"/>
      <c r="AE13" s="145"/>
      <c r="AJ13" s="231" t="s">
        <v>119</v>
      </c>
      <c r="AK13" s="152"/>
      <c r="AL13" s="152"/>
      <c r="AM13" s="152"/>
      <c r="AN13" s="152"/>
      <c r="AO13" s="152"/>
      <c r="AP13" s="152"/>
      <c r="AQ13" s="21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</row>
    <row r="14" spans="1:55" s="27" customFormat="1" ht="9.9" hidden="1" customHeight="1" x14ac:dyDescent="0.3">
      <c r="F14" s="221" t="s">
        <v>120</v>
      </c>
      <c r="G14" s="180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207"/>
      <c r="U14" s="187"/>
      <c r="V14" s="152"/>
      <c r="W14" s="152"/>
      <c r="X14" s="152"/>
      <c r="Y14" s="188"/>
      <c r="Z14" s="187"/>
      <c r="AA14" s="152"/>
      <c r="AB14" s="152"/>
      <c r="AC14" s="152"/>
      <c r="AD14" s="152"/>
      <c r="AE14" s="188"/>
      <c r="AQ14" s="181" t="s">
        <v>97</v>
      </c>
      <c r="AR14" s="152"/>
      <c r="AS14" s="152"/>
      <c r="AT14" s="152"/>
      <c r="AU14" s="152"/>
      <c r="AV14" s="152"/>
      <c r="AW14" s="152"/>
      <c r="AX14" s="152"/>
      <c r="AY14" s="152"/>
      <c r="AZ14" s="152"/>
      <c r="BA14" s="152"/>
      <c r="BB14" s="152"/>
      <c r="BC14" s="152"/>
    </row>
    <row r="15" spans="1:55" s="27" customFormat="1" ht="9" hidden="1" customHeight="1" x14ac:dyDescent="0.3"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207"/>
      <c r="U15" s="189"/>
      <c r="V15" s="142"/>
      <c r="W15" s="142"/>
      <c r="X15" s="142"/>
      <c r="Y15" s="190"/>
      <c r="Z15" s="189"/>
      <c r="AA15" s="142"/>
      <c r="AB15" s="142"/>
      <c r="AC15" s="142"/>
      <c r="AD15" s="142"/>
      <c r="AE15" s="190"/>
      <c r="AJ15" s="212"/>
      <c r="AK15" s="142"/>
      <c r="AL15" s="142"/>
      <c r="AM15" s="142"/>
      <c r="AN15" s="142"/>
      <c r="AO15" s="142"/>
      <c r="AP15" s="142"/>
      <c r="AQ15" s="142"/>
      <c r="AS15" s="212"/>
      <c r="AT15" s="142"/>
      <c r="AU15" s="142"/>
      <c r="AV15" s="142"/>
      <c r="AW15" s="142"/>
      <c r="AX15" s="142"/>
      <c r="AY15" s="142"/>
      <c r="AZ15" s="142"/>
      <c r="BA15" s="142"/>
      <c r="BB15" s="142"/>
      <c r="BC15" s="142"/>
    </row>
    <row r="16" spans="1:55" s="27" customFormat="1" ht="9.9" hidden="1" customHeight="1" x14ac:dyDescent="0.3">
      <c r="AJ16" s="181" t="s">
        <v>121</v>
      </c>
      <c r="AK16" s="152"/>
      <c r="AL16" s="152"/>
      <c r="AM16" s="152"/>
      <c r="AN16" s="152"/>
      <c r="AO16" s="152"/>
      <c r="AP16" s="152"/>
      <c r="AQ16" s="152"/>
      <c r="AR16" s="37"/>
      <c r="AS16" s="181" t="s">
        <v>122</v>
      </c>
      <c r="AT16" s="152"/>
      <c r="AU16" s="152"/>
      <c r="AV16" s="152"/>
      <c r="AW16" s="152"/>
      <c r="AX16" s="152"/>
      <c r="AY16" s="152"/>
      <c r="AZ16" s="152"/>
      <c r="BA16" s="152"/>
      <c r="BB16" s="152"/>
      <c r="BC16" s="152"/>
    </row>
    <row r="17" spans="1:62" s="27" customFormat="1" ht="17.25" hidden="1" customHeight="1" x14ac:dyDescent="0.3">
      <c r="AL17" s="35" t="s">
        <v>123</v>
      </c>
      <c r="AM17" s="178"/>
      <c r="AN17" s="142"/>
      <c r="AO17" s="38" t="s">
        <v>124</v>
      </c>
      <c r="AP17" s="178"/>
      <c r="AQ17" s="142"/>
      <c r="AR17" s="142"/>
      <c r="AS17" s="142"/>
      <c r="AT17" s="142"/>
      <c r="AU17" s="142"/>
      <c r="AV17" s="142"/>
      <c r="AW17" s="142"/>
      <c r="AX17" s="228">
        <v>20</v>
      </c>
      <c r="AY17" s="180"/>
      <c r="AZ17" s="178"/>
      <c r="BA17" s="142"/>
      <c r="BB17" s="35" t="s">
        <v>125</v>
      </c>
    </row>
    <row r="18" spans="1:62" s="27" customFormat="1" ht="12.75" hidden="1" customHeight="1" x14ac:dyDescent="0.25"/>
    <row r="19" spans="1:62" s="27" customFormat="1" ht="10.5" hidden="1" customHeight="1" x14ac:dyDescent="0.3">
      <c r="AR19" s="197" t="s">
        <v>126</v>
      </c>
      <c r="AS19" s="144"/>
      <c r="AT19" s="144"/>
      <c r="AU19" s="144"/>
      <c r="AV19" s="144"/>
      <c r="AW19" s="144"/>
      <c r="AX19" s="144"/>
      <c r="AY19" s="144"/>
      <c r="AZ19" s="145"/>
    </row>
    <row r="20" spans="1:62" s="27" customFormat="1" ht="14.25" hidden="1" customHeight="1" x14ac:dyDescent="0.3">
      <c r="A20" s="180" t="s">
        <v>127</v>
      </c>
      <c r="B20" s="180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229"/>
      <c r="Q20" s="142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90"/>
      <c r="AR20" s="197"/>
      <c r="AS20" s="144"/>
      <c r="AT20" s="144"/>
      <c r="AU20" s="144"/>
      <c r="AV20" s="144"/>
      <c r="AW20" s="144"/>
      <c r="AX20" s="144"/>
      <c r="AY20" s="144"/>
      <c r="AZ20" s="145"/>
    </row>
    <row r="21" spans="1:62" s="27" customFormat="1" ht="14.25" hidden="1" customHeight="1" x14ac:dyDescent="0.3">
      <c r="A21" s="180" t="s">
        <v>128</v>
      </c>
      <c r="B21" s="180"/>
      <c r="C21" s="180"/>
      <c r="D21" s="180"/>
      <c r="E21" s="180"/>
      <c r="F21" s="180"/>
      <c r="G21" s="180"/>
      <c r="H21" s="180"/>
      <c r="I21" s="180"/>
      <c r="J21" s="180"/>
      <c r="K21" s="211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I21" s="27" t="s">
        <v>129</v>
      </c>
      <c r="AR21" s="197"/>
      <c r="AS21" s="144"/>
      <c r="AT21" s="144"/>
      <c r="AU21" s="144"/>
      <c r="AV21" s="144"/>
      <c r="AW21" s="144"/>
      <c r="AX21" s="144"/>
      <c r="AY21" s="144"/>
      <c r="AZ21" s="145"/>
    </row>
    <row r="22" spans="1:62" s="27" customFormat="1" ht="9.9" hidden="1" customHeight="1" x14ac:dyDescent="0.3">
      <c r="K22" s="181" t="s">
        <v>130</v>
      </c>
      <c r="L22" s="152"/>
      <c r="M22" s="152"/>
      <c r="N22" s="152"/>
      <c r="O22" s="152"/>
      <c r="P22" s="152"/>
      <c r="Q22" s="152"/>
      <c r="R22" s="152"/>
      <c r="S22" s="152"/>
      <c r="T22" s="152"/>
      <c r="U22" s="152"/>
      <c r="V22" s="152"/>
      <c r="W22" s="152"/>
      <c r="X22" s="152"/>
      <c r="Y22" s="152"/>
      <c r="Z22" s="152"/>
      <c r="AA22" s="152"/>
    </row>
    <row r="23" spans="1:62" s="27" customFormat="1" ht="10.5" hidden="1" customHeight="1" x14ac:dyDescent="0.3">
      <c r="A23" s="180" t="s">
        <v>131</v>
      </c>
      <c r="B23" s="180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N23" s="211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Z23" s="180" t="s">
        <v>132</v>
      </c>
      <c r="AA23" s="180"/>
      <c r="AB23" s="180"/>
      <c r="AC23" s="180"/>
      <c r="AD23" s="180"/>
      <c r="AE23" s="180"/>
      <c r="AF23" s="180"/>
      <c r="AG23" s="180"/>
      <c r="AH23" s="180"/>
      <c r="AI23" s="211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</row>
    <row r="24" spans="1:62" s="27" customFormat="1" ht="5.25" hidden="1" customHeight="1" x14ac:dyDescent="0.25"/>
    <row r="25" spans="1:62" s="27" customFormat="1" ht="18" hidden="1" customHeight="1" x14ac:dyDescent="0.3">
      <c r="A25" s="183" t="s">
        <v>133</v>
      </c>
      <c r="B25" s="144"/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5"/>
      <c r="R25" s="183" t="s">
        <v>134</v>
      </c>
      <c r="S25" s="144"/>
      <c r="T25" s="144"/>
      <c r="U25" s="144"/>
      <c r="V25" s="144"/>
      <c r="W25" s="144"/>
      <c r="X25" s="145"/>
      <c r="Y25" s="39"/>
      <c r="Z25" s="40"/>
      <c r="AA25" s="183" t="s">
        <v>135</v>
      </c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44"/>
      <c r="BA25" s="144"/>
      <c r="BB25" s="144"/>
      <c r="BC25" s="145"/>
      <c r="BJ25" s="33"/>
    </row>
    <row r="26" spans="1:62" s="27" customFormat="1" ht="12.75" hidden="1" customHeight="1" x14ac:dyDescent="0.3">
      <c r="A26" s="236" t="s">
        <v>136</v>
      </c>
      <c r="B26" s="152"/>
      <c r="C26" s="152"/>
      <c r="D26" s="152"/>
      <c r="E26" s="152"/>
      <c r="F26" s="152"/>
      <c r="G26" s="152"/>
      <c r="H26" s="152"/>
      <c r="I26" s="152"/>
      <c r="J26" s="203" t="s">
        <v>137</v>
      </c>
      <c r="K26" s="144"/>
      <c r="L26" s="144"/>
      <c r="M26" s="144"/>
      <c r="N26" s="144"/>
      <c r="O26" s="144"/>
      <c r="P26" s="144"/>
      <c r="Q26" s="145"/>
      <c r="R26" s="198"/>
      <c r="S26" s="144"/>
      <c r="T26" s="144"/>
      <c r="U26" s="144"/>
      <c r="V26" s="144"/>
      <c r="W26" s="144"/>
      <c r="X26" s="145"/>
      <c r="AA26" s="198" t="s">
        <v>138</v>
      </c>
      <c r="AB26" s="144"/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AM26" s="144"/>
      <c r="AN26" s="144"/>
      <c r="AO26" s="145"/>
      <c r="AP26" s="198" t="s">
        <v>139</v>
      </c>
      <c r="AQ26" s="144"/>
      <c r="AR26" s="144"/>
      <c r="AS26" s="144"/>
      <c r="AT26" s="144"/>
      <c r="AU26" s="144"/>
      <c r="AV26" s="144"/>
      <c r="AW26" s="144"/>
      <c r="AX26" s="144"/>
      <c r="AY26" s="144"/>
      <c r="AZ26" s="144"/>
      <c r="BA26" s="144"/>
      <c r="BB26" s="144"/>
      <c r="BC26" s="145"/>
    </row>
    <row r="27" spans="1:62" s="27" customFormat="1" ht="12.75" hidden="1" customHeight="1" x14ac:dyDescent="0.3">
      <c r="A27" s="189"/>
      <c r="B27" s="142"/>
      <c r="C27" s="142"/>
      <c r="D27" s="142"/>
      <c r="E27" s="142"/>
      <c r="F27" s="142"/>
      <c r="G27" s="142"/>
      <c r="H27" s="142"/>
      <c r="I27" s="142"/>
      <c r="J27" s="234" t="s">
        <v>140</v>
      </c>
      <c r="K27" s="144"/>
      <c r="L27" s="144"/>
      <c r="M27" s="144"/>
      <c r="N27" s="144"/>
      <c r="O27" s="144"/>
      <c r="P27" s="144"/>
      <c r="Q27" s="145"/>
      <c r="R27" s="198"/>
      <c r="S27" s="144"/>
      <c r="T27" s="144"/>
      <c r="U27" s="144"/>
      <c r="V27" s="144"/>
      <c r="W27" s="144"/>
      <c r="X27" s="145"/>
      <c r="AA27" s="183" t="s">
        <v>141</v>
      </c>
      <c r="AB27" s="144"/>
      <c r="AC27" s="144"/>
      <c r="AD27" s="144"/>
      <c r="AE27" s="144"/>
      <c r="AF27" s="144"/>
      <c r="AG27" s="145"/>
      <c r="AH27" s="183" t="s">
        <v>142</v>
      </c>
      <c r="AI27" s="144"/>
      <c r="AJ27" s="144"/>
      <c r="AK27" s="144"/>
      <c r="AL27" s="144"/>
      <c r="AM27" s="144"/>
      <c r="AN27" s="144"/>
      <c r="AO27" s="145"/>
      <c r="AP27" s="183" t="s">
        <v>141</v>
      </c>
      <c r="AQ27" s="144"/>
      <c r="AR27" s="144"/>
      <c r="AS27" s="144"/>
      <c r="AT27" s="144"/>
      <c r="AU27" s="144"/>
      <c r="AV27" s="145"/>
      <c r="AW27" s="183" t="s">
        <v>142</v>
      </c>
      <c r="AX27" s="144"/>
      <c r="AY27" s="144"/>
      <c r="AZ27" s="144"/>
      <c r="BA27" s="144"/>
      <c r="BB27" s="144"/>
      <c r="BC27" s="145"/>
    </row>
    <row r="28" spans="1:62" s="27" customFormat="1" ht="12.75" hidden="1" customHeight="1" x14ac:dyDescent="0.3">
      <c r="A28" s="205" t="s">
        <v>143</v>
      </c>
      <c r="B28" s="144"/>
      <c r="C28" s="144"/>
      <c r="D28" s="144"/>
      <c r="E28" s="144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5"/>
      <c r="R28" s="175"/>
      <c r="S28" s="144"/>
      <c r="T28" s="144"/>
      <c r="U28" s="144"/>
      <c r="V28" s="144"/>
      <c r="W28" s="144"/>
      <c r="X28" s="145"/>
      <c r="AA28" s="198"/>
      <c r="AB28" s="144"/>
      <c r="AC28" s="144"/>
      <c r="AD28" s="144"/>
      <c r="AE28" s="144"/>
      <c r="AF28" s="144"/>
      <c r="AG28" s="145"/>
      <c r="AH28" s="198"/>
      <c r="AI28" s="144"/>
      <c r="AJ28" s="144"/>
      <c r="AK28" s="144"/>
      <c r="AL28" s="144"/>
      <c r="AM28" s="144"/>
      <c r="AN28" s="144"/>
      <c r="AO28" s="145"/>
      <c r="AP28" s="198"/>
      <c r="AQ28" s="144"/>
      <c r="AR28" s="144"/>
      <c r="AS28" s="144"/>
      <c r="AT28" s="144"/>
      <c r="AU28" s="144"/>
      <c r="AV28" s="145"/>
      <c r="AW28" s="198"/>
      <c r="AX28" s="144"/>
      <c r="AY28" s="144"/>
      <c r="AZ28" s="144"/>
      <c r="BA28" s="144"/>
      <c r="BB28" s="144"/>
      <c r="BC28" s="145"/>
    </row>
    <row r="29" spans="1:62" s="27" customFormat="1" ht="12.75" hidden="1" customHeight="1" x14ac:dyDescent="0.3">
      <c r="A29" s="237" t="s">
        <v>144</v>
      </c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195"/>
      <c r="M29" s="144"/>
      <c r="N29" s="144"/>
      <c r="O29" s="144"/>
      <c r="P29" s="144"/>
      <c r="Q29" s="145"/>
      <c r="R29" s="175"/>
      <c r="S29" s="144"/>
      <c r="T29" s="144"/>
      <c r="U29" s="144"/>
      <c r="V29" s="144"/>
      <c r="W29" s="144"/>
      <c r="X29" s="145"/>
      <c r="AA29" s="198"/>
      <c r="AB29" s="144"/>
      <c r="AC29" s="144"/>
      <c r="AD29" s="144"/>
      <c r="AE29" s="144"/>
      <c r="AF29" s="144"/>
      <c r="AG29" s="145"/>
      <c r="AH29" s="198"/>
      <c r="AI29" s="144"/>
      <c r="AJ29" s="144"/>
      <c r="AK29" s="144"/>
      <c r="AL29" s="144"/>
      <c r="AM29" s="144"/>
      <c r="AN29" s="144"/>
      <c r="AO29" s="145"/>
      <c r="AP29" s="198"/>
      <c r="AQ29" s="144"/>
      <c r="AR29" s="144"/>
      <c r="AS29" s="144"/>
      <c r="AT29" s="144"/>
      <c r="AU29" s="144"/>
      <c r="AV29" s="145"/>
      <c r="AW29" s="198"/>
      <c r="AX29" s="144"/>
      <c r="AY29" s="144"/>
      <c r="AZ29" s="144"/>
      <c r="BA29" s="144"/>
      <c r="BB29" s="144"/>
      <c r="BC29" s="145"/>
    </row>
    <row r="30" spans="1:62" s="27" customFormat="1" ht="12.75" hidden="1" customHeight="1" x14ac:dyDescent="0.3">
      <c r="A30" s="208" t="s">
        <v>145</v>
      </c>
      <c r="B30" s="144"/>
      <c r="C30" s="144"/>
      <c r="D30" s="144"/>
      <c r="E30" s="144"/>
      <c r="F30" s="144"/>
      <c r="G30" s="144"/>
      <c r="H30" s="144"/>
      <c r="I30" s="144"/>
      <c r="J30" s="144"/>
      <c r="K30" s="144"/>
      <c r="L30" s="203"/>
      <c r="M30" s="144"/>
      <c r="N30" s="144"/>
      <c r="O30" s="144"/>
      <c r="P30" s="144"/>
      <c r="Q30" s="145"/>
      <c r="R30" s="175"/>
      <c r="S30" s="144"/>
      <c r="T30" s="144"/>
      <c r="U30" s="144"/>
      <c r="V30" s="144"/>
      <c r="W30" s="144"/>
      <c r="X30" s="145"/>
      <c r="AA30" s="198"/>
      <c r="AB30" s="144"/>
      <c r="AC30" s="144"/>
      <c r="AD30" s="144"/>
      <c r="AE30" s="144"/>
      <c r="AF30" s="144"/>
      <c r="AG30" s="145"/>
      <c r="AH30" s="198"/>
      <c r="AI30" s="144"/>
      <c r="AJ30" s="144"/>
      <c r="AK30" s="144"/>
      <c r="AL30" s="144"/>
      <c r="AM30" s="144"/>
      <c r="AN30" s="144"/>
      <c r="AO30" s="145"/>
      <c r="AP30" s="198"/>
      <c r="AQ30" s="144"/>
      <c r="AR30" s="144"/>
      <c r="AS30" s="144"/>
      <c r="AT30" s="144"/>
      <c r="AU30" s="144"/>
      <c r="AV30" s="145"/>
      <c r="AW30" s="198"/>
      <c r="AX30" s="144"/>
      <c r="AY30" s="144"/>
      <c r="AZ30" s="144"/>
      <c r="BA30" s="144"/>
      <c r="BB30" s="144"/>
      <c r="BC30" s="145"/>
    </row>
    <row r="31" spans="1:62" s="27" customFormat="1" ht="12.75" hidden="1" customHeight="1" x14ac:dyDescent="0.3">
      <c r="A31" s="205"/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5"/>
      <c r="R31" s="175"/>
      <c r="S31" s="144"/>
      <c r="T31" s="144"/>
      <c r="U31" s="144"/>
      <c r="V31" s="144"/>
      <c r="W31" s="144"/>
      <c r="X31" s="145"/>
      <c r="AA31" s="198"/>
      <c r="AB31" s="144"/>
      <c r="AC31" s="144"/>
      <c r="AD31" s="144"/>
      <c r="AE31" s="144"/>
      <c r="AF31" s="144"/>
      <c r="AG31" s="145"/>
      <c r="AH31" s="198"/>
      <c r="AI31" s="144"/>
      <c r="AJ31" s="144"/>
      <c r="AK31" s="144"/>
      <c r="AL31" s="144"/>
      <c r="AM31" s="144"/>
      <c r="AN31" s="144"/>
      <c r="AO31" s="145"/>
      <c r="AP31" s="198"/>
      <c r="AQ31" s="144"/>
      <c r="AR31" s="144"/>
      <c r="AS31" s="144"/>
      <c r="AT31" s="144"/>
      <c r="AU31" s="144"/>
      <c r="AV31" s="145"/>
      <c r="AW31" s="198"/>
      <c r="AX31" s="144"/>
      <c r="AY31" s="144"/>
      <c r="AZ31" s="144"/>
      <c r="BA31" s="144"/>
      <c r="BB31" s="144"/>
      <c r="BC31" s="145"/>
    </row>
    <row r="32" spans="1:62" s="27" customFormat="1" ht="12.75" hidden="1" customHeight="1" x14ac:dyDescent="0.3">
      <c r="A32" s="205" t="s">
        <v>146</v>
      </c>
      <c r="B32" s="144"/>
      <c r="C32" s="144"/>
      <c r="D32" s="144"/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4"/>
      <c r="Q32" s="145"/>
      <c r="R32" s="175"/>
      <c r="S32" s="144"/>
      <c r="T32" s="144"/>
      <c r="U32" s="144"/>
      <c r="V32" s="144"/>
      <c r="W32" s="144"/>
      <c r="X32" s="145"/>
      <c r="AA32" s="198"/>
      <c r="AB32" s="144"/>
      <c r="AC32" s="144"/>
      <c r="AD32" s="144"/>
      <c r="AE32" s="144"/>
      <c r="AF32" s="144"/>
      <c r="AG32" s="145"/>
      <c r="AH32" s="198"/>
      <c r="AI32" s="144"/>
      <c r="AJ32" s="144"/>
      <c r="AK32" s="144"/>
      <c r="AL32" s="144"/>
      <c r="AM32" s="144"/>
      <c r="AN32" s="144"/>
      <c r="AO32" s="145"/>
      <c r="AP32" s="198"/>
      <c r="AQ32" s="144"/>
      <c r="AR32" s="144"/>
      <c r="AS32" s="144"/>
      <c r="AT32" s="144"/>
      <c r="AU32" s="144"/>
      <c r="AV32" s="145"/>
      <c r="AW32" s="198"/>
      <c r="AX32" s="144"/>
      <c r="AY32" s="144"/>
      <c r="AZ32" s="144"/>
      <c r="BA32" s="144"/>
      <c r="BB32" s="144"/>
      <c r="BC32" s="145"/>
    </row>
    <row r="33" spans="1:55" s="27" customFormat="1" ht="12.75" hidden="1" customHeight="1" x14ac:dyDescent="0.3">
      <c r="A33" s="205" t="s">
        <v>147</v>
      </c>
      <c r="B33" s="144"/>
      <c r="C33" s="144"/>
      <c r="D33" s="144"/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45"/>
      <c r="R33" s="175"/>
      <c r="S33" s="144"/>
      <c r="T33" s="144"/>
      <c r="U33" s="144"/>
      <c r="V33" s="144"/>
      <c r="W33" s="144"/>
      <c r="X33" s="145"/>
      <c r="AA33" s="198"/>
      <c r="AB33" s="144"/>
      <c r="AC33" s="144"/>
      <c r="AD33" s="144"/>
      <c r="AE33" s="144"/>
      <c r="AF33" s="144"/>
      <c r="AG33" s="145"/>
      <c r="AH33" s="198"/>
      <c r="AI33" s="144"/>
      <c r="AJ33" s="144"/>
      <c r="AK33" s="144"/>
      <c r="AL33" s="144"/>
      <c r="AM33" s="144"/>
      <c r="AN33" s="144"/>
      <c r="AO33" s="145"/>
      <c r="AP33" s="198"/>
      <c r="AQ33" s="144"/>
      <c r="AR33" s="144"/>
      <c r="AS33" s="144"/>
      <c r="AT33" s="144"/>
      <c r="AU33" s="144"/>
      <c r="AV33" s="145"/>
      <c r="AW33" s="198"/>
      <c r="AX33" s="144"/>
      <c r="AY33" s="144"/>
      <c r="AZ33" s="144"/>
      <c r="BA33" s="144"/>
      <c r="BB33" s="144"/>
      <c r="BC33" s="145"/>
    </row>
    <row r="34" spans="1:55" s="27" customFormat="1" ht="12.75" hidden="1" customHeight="1" x14ac:dyDescent="0.3">
      <c r="A34" s="41"/>
      <c r="B34" s="195" t="s">
        <v>148</v>
      </c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5"/>
      <c r="R34" s="175"/>
      <c r="S34" s="144"/>
      <c r="T34" s="144"/>
      <c r="U34" s="144"/>
      <c r="V34" s="144"/>
      <c r="W34" s="144"/>
      <c r="X34" s="145"/>
      <c r="Y34" s="42"/>
      <c r="Z34" s="43"/>
      <c r="AA34" s="198"/>
      <c r="AB34" s="144"/>
      <c r="AC34" s="144"/>
      <c r="AD34" s="144"/>
      <c r="AE34" s="144"/>
      <c r="AF34" s="144"/>
      <c r="AG34" s="145"/>
      <c r="AH34" s="198"/>
      <c r="AI34" s="144"/>
      <c r="AJ34" s="144"/>
      <c r="AK34" s="144"/>
      <c r="AL34" s="144"/>
      <c r="AM34" s="144"/>
      <c r="AN34" s="144"/>
      <c r="AO34" s="145"/>
      <c r="AP34" s="198"/>
      <c r="AQ34" s="144"/>
      <c r="AR34" s="144"/>
      <c r="AS34" s="144"/>
      <c r="AT34" s="144"/>
      <c r="AU34" s="144"/>
      <c r="AV34" s="145"/>
      <c r="AW34" s="198"/>
      <c r="AX34" s="144"/>
      <c r="AY34" s="144"/>
      <c r="AZ34" s="144"/>
      <c r="BA34" s="144"/>
      <c r="BB34" s="144"/>
      <c r="BC34" s="145"/>
    </row>
    <row r="35" spans="1:55" s="27" customFormat="1" ht="12.75" hidden="1" customHeight="1" x14ac:dyDescent="0.3">
      <c r="A35" s="44"/>
      <c r="B35" s="195" t="s">
        <v>149</v>
      </c>
      <c r="C35" s="144"/>
      <c r="D35" s="144"/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5"/>
      <c r="R35" s="175"/>
      <c r="S35" s="144"/>
      <c r="T35" s="144"/>
      <c r="U35" s="144"/>
      <c r="V35" s="144"/>
      <c r="W35" s="144"/>
      <c r="X35" s="145"/>
      <c r="AA35" s="198"/>
      <c r="AB35" s="144"/>
      <c r="AC35" s="144"/>
      <c r="AD35" s="144"/>
      <c r="AE35" s="144"/>
      <c r="AF35" s="144"/>
      <c r="AG35" s="145"/>
      <c r="AH35" s="198"/>
      <c r="AI35" s="144"/>
      <c r="AJ35" s="144"/>
      <c r="AK35" s="144"/>
      <c r="AL35" s="144"/>
      <c r="AM35" s="144"/>
      <c r="AN35" s="144"/>
      <c r="AO35" s="145"/>
      <c r="AP35" s="198"/>
      <c r="AQ35" s="144"/>
      <c r="AR35" s="144"/>
      <c r="AS35" s="144"/>
      <c r="AT35" s="144"/>
      <c r="AU35" s="144"/>
      <c r="AV35" s="145"/>
      <c r="AW35" s="198"/>
      <c r="AX35" s="144"/>
      <c r="AY35" s="144"/>
      <c r="AZ35" s="144"/>
      <c r="BA35" s="144"/>
      <c r="BB35" s="144"/>
      <c r="BC35" s="145"/>
    </row>
    <row r="36" spans="1:55" s="27" customFormat="1" ht="3.75" hidden="1" customHeight="1" x14ac:dyDescent="0.25"/>
    <row r="37" spans="1:55" s="27" customFormat="1" ht="12.75" hidden="1" customHeight="1" x14ac:dyDescent="0.3">
      <c r="A37" s="35" t="s">
        <v>150</v>
      </c>
      <c r="B37" s="35"/>
      <c r="C37" s="35"/>
      <c r="D37" s="35"/>
      <c r="E37" s="35"/>
      <c r="G37" s="196"/>
      <c r="H37" s="142"/>
      <c r="I37" s="142"/>
      <c r="J37" s="142"/>
      <c r="K37" s="142"/>
      <c r="L37" s="209" t="s">
        <v>151</v>
      </c>
      <c r="M37" s="180"/>
      <c r="N37" s="180"/>
      <c r="O37" s="180"/>
      <c r="P37" s="180"/>
      <c r="Q37" s="180"/>
      <c r="R37" s="180"/>
      <c r="S37" s="196"/>
      <c r="T37" s="142"/>
      <c r="U37" s="142"/>
      <c r="V37" s="142"/>
      <c r="W37" s="209" t="s">
        <v>152</v>
      </c>
      <c r="X37" s="180"/>
      <c r="Y37" s="180"/>
      <c r="Z37" s="180"/>
    </row>
    <row r="38" spans="1:55" s="27" customFormat="1" ht="12.75" hidden="1" customHeight="1" x14ac:dyDescent="0.25"/>
    <row r="39" spans="1:55" s="27" customFormat="1" ht="12.75" hidden="1" customHeight="1" x14ac:dyDescent="0.3">
      <c r="A39" s="35" t="s">
        <v>153</v>
      </c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196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209" t="s">
        <v>117</v>
      </c>
      <c r="AK39" s="180"/>
      <c r="AL39" s="180"/>
      <c r="AM39" s="196"/>
      <c r="AN39" s="142"/>
      <c r="AO39" s="142"/>
      <c r="AP39" s="142"/>
      <c r="AQ39" s="179" t="s">
        <v>118</v>
      </c>
      <c r="AR39" s="180"/>
      <c r="AS39" s="36" t="s">
        <v>154</v>
      </c>
      <c r="AT39" s="196"/>
      <c r="AU39" s="142"/>
      <c r="AV39" s="142"/>
      <c r="AW39" s="209" t="s">
        <v>117</v>
      </c>
      <c r="AX39" s="180"/>
      <c r="AY39" s="196"/>
      <c r="AZ39" s="142"/>
      <c r="BA39" s="179" t="s">
        <v>155</v>
      </c>
      <c r="BB39" s="180"/>
      <c r="BC39" s="180"/>
    </row>
    <row r="40" spans="1:55" s="27" customFormat="1" ht="9.9" hidden="1" customHeight="1" x14ac:dyDescent="0.3">
      <c r="S40" s="181" t="s">
        <v>156</v>
      </c>
      <c r="T40" s="152"/>
      <c r="U40" s="152"/>
      <c r="V40" s="152"/>
      <c r="W40" s="152"/>
      <c r="X40" s="152"/>
      <c r="Y40" s="152"/>
      <c r="Z40" s="152"/>
      <c r="AA40" s="152"/>
      <c r="AB40" s="152"/>
      <c r="AC40" s="152"/>
      <c r="AD40" s="152"/>
      <c r="AE40" s="152"/>
      <c r="AF40" s="152"/>
      <c r="AG40" s="152"/>
      <c r="AH40" s="152"/>
      <c r="AI40" s="152"/>
      <c r="AJ40" s="45"/>
    </row>
    <row r="41" spans="1:55" s="27" customFormat="1" ht="15" hidden="1" customHeight="1" x14ac:dyDescent="0.3">
      <c r="A41" s="179" t="s">
        <v>157</v>
      </c>
      <c r="B41" s="180"/>
      <c r="C41" s="180"/>
      <c r="D41" s="180"/>
      <c r="E41" s="180"/>
      <c r="F41" s="180"/>
      <c r="G41" s="180"/>
      <c r="H41" s="180"/>
      <c r="I41" s="180"/>
      <c r="J41" s="193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AA41" s="193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</row>
    <row r="42" spans="1:55" s="27" customFormat="1" ht="9.9" hidden="1" customHeight="1" x14ac:dyDescent="0.3">
      <c r="J42" s="181" t="s">
        <v>121</v>
      </c>
      <c r="K42" s="152"/>
      <c r="L42" s="152"/>
      <c r="M42" s="152"/>
      <c r="N42" s="152"/>
      <c r="O42" s="152"/>
      <c r="P42" s="152"/>
      <c r="Q42" s="152"/>
      <c r="R42" s="152"/>
      <c r="S42" s="152"/>
      <c r="T42" s="152"/>
      <c r="U42" s="152"/>
      <c r="V42" s="152"/>
      <c r="W42" s="152"/>
      <c r="X42" s="37"/>
      <c r="Y42" s="37"/>
      <c r="Z42" s="37"/>
      <c r="AA42" s="181" t="s">
        <v>122</v>
      </c>
      <c r="AB42" s="152"/>
      <c r="AC42" s="152"/>
      <c r="AD42" s="152"/>
      <c r="AE42" s="152"/>
      <c r="AF42" s="152"/>
      <c r="AG42" s="152"/>
      <c r="AH42" s="152"/>
      <c r="AI42" s="152"/>
      <c r="AJ42" s="152"/>
      <c r="AK42" s="152"/>
      <c r="AL42" s="152"/>
      <c r="AM42" s="152"/>
      <c r="AN42" s="152"/>
      <c r="AO42" s="152"/>
      <c r="AP42" s="152"/>
      <c r="AQ42" s="152"/>
      <c r="AR42" s="152"/>
      <c r="AS42" s="152"/>
      <c r="AT42" s="152"/>
      <c r="AU42" s="152"/>
      <c r="AV42" s="152"/>
      <c r="AW42" s="152"/>
      <c r="AX42" s="152"/>
      <c r="AY42" s="152"/>
      <c r="AZ42" s="152"/>
      <c r="BA42" s="152"/>
      <c r="BB42" s="152"/>
      <c r="BC42" s="152"/>
    </row>
    <row r="43" spans="1:55" s="27" customFormat="1" ht="15" hidden="1" customHeight="1" x14ac:dyDescent="0.3">
      <c r="A43" s="179" t="s">
        <v>158</v>
      </c>
      <c r="B43" s="180"/>
      <c r="C43" s="180"/>
      <c r="D43" s="180"/>
      <c r="E43" s="180"/>
      <c r="F43" s="180"/>
      <c r="G43" s="180"/>
      <c r="H43" s="180"/>
      <c r="I43" s="180"/>
      <c r="J43" s="193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AA43" s="193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</row>
    <row r="44" spans="1:55" s="27" customFormat="1" ht="12.75" hidden="1" customHeight="1" x14ac:dyDescent="0.3">
      <c r="J44" s="181" t="s">
        <v>121</v>
      </c>
      <c r="K44" s="152"/>
      <c r="L44" s="152"/>
      <c r="M44" s="152"/>
      <c r="N44" s="152"/>
      <c r="O44" s="152"/>
      <c r="P44" s="152"/>
      <c r="Q44" s="152"/>
      <c r="R44" s="152"/>
      <c r="S44" s="152"/>
      <c r="T44" s="152"/>
      <c r="U44" s="152"/>
      <c r="V44" s="152"/>
      <c r="W44" s="152"/>
      <c r="X44" s="37"/>
      <c r="Y44" s="37"/>
      <c r="Z44" s="37"/>
      <c r="AA44" s="181" t="s">
        <v>122</v>
      </c>
      <c r="AB44" s="152"/>
      <c r="AC44" s="152"/>
      <c r="AD44" s="152"/>
      <c r="AE44" s="152"/>
      <c r="AF44" s="152"/>
      <c r="AG44" s="152"/>
      <c r="AH44" s="152"/>
      <c r="AI44" s="152"/>
      <c r="AJ44" s="152"/>
      <c r="AK44" s="152"/>
      <c r="AL44" s="152"/>
      <c r="AM44" s="152"/>
      <c r="AN44" s="152"/>
      <c r="AO44" s="152"/>
      <c r="AP44" s="152"/>
      <c r="AQ44" s="152"/>
      <c r="AR44" s="152"/>
      <c r="AS44" s="152"/>
      <c r="AT44" s="152"/>
      <c r="AU44" s="152"/>
      <c r="AV44" s="152"/>
      <c r="AW44" s="152"/>
      <c r="AX44" s="152"/>
      <c r="AY44" s="152"/>
      <c r="AZ44" s="152"/>
      <c r="BA44" s="152"/>
      <c r="BB44" s="152"/>
      <c r="BC44" s="152"/>
    </row>
    <row r="45" spans="1:55" s="27" customFormat="1" ht="15" hidden="1" customHeight="1" x14ac:dyDescent="0.3">
      <c r="A45" s="212" t="s">
        <v>159</v>
      </c>
      <c r="B45" s="142"/>
      <c r="C45" s="142"/>
      <c r="D45" s="142"/>
      <c r="E45" s="142"/>
      <c r="F45" s="142"/>
      <c r="G45" s="142"/>
      <c r="H45" s="142"/>
      <c r="I45" s="142"/>
      <c r="J45" s="206" t="s">
        <v>160</v>
      </c>
      <c r="K45" s="180"/>
      <c r="L45" s="180"/>
      <c r="M45" s="207"/>
      <c r="N45" s="200"/>
      <c r="O45" s="152"/>
      <c r="P45" s="152"/>
      <c r="Q45" s="152"/>
      <c r="R45" s="152"/>
      <c r="S45" s="188"/>
      <c r="T45" s="232" t="s">
        <v>117</v>
      </c>
      <c r="U45" s="207"/>
      <c r="V45" s="200"/>
      <c r="W45" s="152"/>
      <c r="X45" s="188"/>
      <c r="Y45" s="210" t="s">
        <v>161</v>
      </c>
      <c r="Z45" s="180"/>
      <c r="AA45" s="180"/>
      <c r="AB45" s="180"/>
      <c r="AC45" s="180"/>
      <c r="AD45" s="180"/>
      <c r="AE45" s="180"/>
      <c r="AF45" s="180"/>
      <c r="AG45" s="180"/>
      <c r="AH45" s="180"/>
      <c r="AI45" s="180"/>
      <c r="AJ45" s="180"/>
      <c r="AK45" s="180"/>
      <c r="AL45" s="219"/>
      <c r="AM45" s="142"/>
      <c r="AN45" s="142"/>
      <c r="AO45" s="227" t="s">
        <v>162</v>
      </c>
      <c r="AP45" s="180"/>
      <c r="AQ45" s="178"/>
      <c r="AR45" s="142"/>
      <c r="AS45" s="35" t="s">
        <v>124</v>
      </c>
      <c r="AT45" s="196"/>
      <c r="AU45" s="142"/>
      <c r="AV45" s="142"/>
      <c r="AW45" s="142"/>
      <c r="AX45" s="142"/>
      <c r="AY45" s="142"/>
      <c r="AZ45" s="209">
        <v>20</v>
      </c>
      <c r="BA45" s="180"/>
      <c r="BB45" s="46"/>
      <c r="BC45" s="35" t="s">
        <v>125</v>
      </c>
    </row>
    <row r="46" spans="1:55" s="27" customFormat="1" ht="6.9" hidden="1" customHeight="1" x14ac:dyDescent="0.25">
      <c r="A46" s="230" t="s">
        <v>163</v>
      </c>
      <c r="B46" s="152"/>
      <c r="C46" s="152"/>
      <c r="D46" s="152"/>
      <c r="E46" s="152"/>
      <c r="F46" s="152"/>
      <c r="G46" s="152"/>
      <c r="H46" s="152"/>
      <c r="I46" s="152"/>
      <c r="J46" s="47"/>
      <c r="K46" s="47"/>
      <c r="L46" s="47"/>
      <c r="M46" s="47"/>
      <c r="N46" s="189"/>
      <c r="O46" s="142"/>
      <c r="P46" s="142"/>
      <c r="Q46" s="142"/>
      <c r="R46" s="142"/>
      <c r="S46" s="190"/>
      <c r="T46" s="48"/>
      <c r="U46" s="49"/>
      <c r="V46" s="189"/>
      <c r="W46" s="142"/>
      <c r="X46" s="190"/>
      <c r="Y46" s="48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50"/>
      <c r="AM46" s="50"/>
      <c r="AN46" s="50"/>
      <c r="AO46" s="49"/>
      <c r="AP46" s="49"/>
      <c r="AQ46" s="51"/>
      <c r="AR46" s="51"/>
      <c r="AS46" s="52"/>
      <c r="AT46" s="49"/>
      <c r="AU46" s="49"/>
      <c r="AV46" s="49"/>
      <c r="AW46" s="49"/>
      <c r="AX46" s="49"/>
      <c r="AY46" s="49"/>
      <c r="AZ46" s="47"/>
      <c r="BA46" s="47"/>
      <c r="BB46" s="53"/>
      <c r="BC46" s="52"/>
    </row>
    <row r="47" spans="1:55" s="27" customFormat="1" ht="12.75" hidden="1" customHeight="1" x14ac:dyDescent="0.25">
      <c r="A47" s="180"/>
      <c r="B47" s="180"/>
      <c r="C47" s="180"/>
      <c r="D47" s="180"/>
      <c r="E47" s="180"/>
      <c r="F47" s="180"/>
      <c r="G47" s="180"/>
      <c r="H47" s="180"/>
      <c r="I47" s="180"/>
    </row>
    <row r="48" spans="1:55" s="27" customFormat="1" ht="12.75" hidden="1" customHeight="1" x14ac:dyDescent="0.3">
      <c r="B48" s="36"/>
      <c r="C48" s="36"/>
      <c r="D48" s="36"/>
      <c r="E48" s="36"/>
      <c r="F48" s="36"/>
      <c r="G48" s="36"/>
      <c r="H48" s="36"/>
      <c r="I48" s="36" t="s">
        <v>164</v>
      </c>
      <c r="J48" s="54"/>
      <c r="K48" s="196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X48" s="35"/>
      <c r="Y48" s="193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55"/>
      <c r="AO48" s="55"/>
      <c r="AP48" s="36" t="s">
        <v>165</v>
      </c>
      <c r="AQ48" s="178"/>
      <c r="AR48" s="142"/>
      <c r="AS48" s="38" t="s">
        <v>124</v>
      </c>
      <c r="AT48" s="178"/>
      <c r="AU48" s="142"/>
      <c r="AV48" s="142"/>
      <c r="AW48" s="142"/>
      <c r="AX48" s="142"/>
      <c r="AY48" s="142"/>
      <c r="AZ48" s="216">
        <v>20</v>
      </c>
      <c r="BA48" s="180"/>
      <c r="BB48" s="56"/>
      <c r="BC48" s="35" t="s">
        <v>125</v>
      </c>
    </row>
    <row r="49" spans="1:55" s="27" customFormat="1" ht="11.1" hidden="1" customHeight="1" x14ac:dyDescent="0.3">
      <c r="J49" s="45"/>
      <c r="K49" s="181" t="s">
        <v>121</v>
      </c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X49" s="37"/>
      <c r="Y49" s="181" t="s">
        <v>122</v>
      </c>
      <c r="Z49" s="152"/>
      <c r="AA49" s="152"/>
      <c r="AB49" s="152"/>
      <c r="AC49" s="152"/>
      <c r="AD49" s="152"/>
      <c r="AE49" s="152"/>
      <c r="AF49" s="152"/>
      <c r="AG49" s="152"/>
      <c r="AH49" s="152"/>
      <c r="AI49" s="152"/>
      <c r="AJ49" s="152"/>
      <c r="AK49" s="152"/>
      <c r="AL49" s="152"/>
      <c r="AM49" s="152"/>
      <c r="AN49" s="55"/>
      <c r="AO49" s="55"/>
      <c r="AP49" s="35"/>
      <c r="AQ49" s="54"/>
      <c r="AR49" s="54"/>
      <c r="AS49" s="54"/>
      <c r="AT49" s="54"/>
      <c r="AU49" s="54"/>
      <c r="AV49" s="54"/>
      <c r="AW49" s="54"/>
      <c r="AX49" s="54"/>
      <c r="AY49" s="54"/>
      <c r="AZ49" s="36"/>
      <c r="BA49" s="36"/>
      <c r="BB49" s="57"/>
      <c r="BC49" s="35"/>
    </row>
    <row r="50" spans="1:55" s="27" customFormat="1" ht="6" hidden="1" customHeight="1" x14ac:dyDescent="0.25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8"/>
      <c r="BA50" s="58"/>
      <c r="BB50" s="58"/>
      <c r="BC50" s="58"/>
    </row>
    <row r="51" spans="1:55" s="27" customFormat="1" ht="9.9" hidden="1" customHeight="1" x14ac:dyDescent="0.25">
      <c r="A51" s="233" t="s">
        <v>166</v>
      </c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S51" s="180"/>
      <c r="T51" s="180"/>
      <c r="U51" s="180"/>
      <c r="V51" s="180"/>
      <c r="W51" s="180"/>
      <c r="X51" s="180"/>
      <c r="Y51" s="180"/>
      <c r="Z51" s="180"/>
      <c r="AA51" s="180"/>
      <c r="AB51" s="180"/>
      <c r="AC51" s="180"/>
      <c r="AD51" s="180"/>
      <c r="AE51" s="180"/>
      <c r="AF51" s="180"/>
      <c r="AG51" s="180"/>
      <c r="AH51" s="180"/>
      <c r="AI51" s="180"/>
      <c r="AJ51" s="180"/>
      <c r="AK51" s="180"/>
      <c r="AL51" s="180"/>
      <c r="AM51" s="180"/>
      <c r="AN51" s="180"/>
      <c r="AO51" s="180"/>
      <c r="AP51" s="180"/>
      <c r="AQ51" s="180"/>
      <c r="AR51" s="180"/>
      <c r="AS51" s="180"/>
      <c r="AT51" s="180"/>
      <c r="AU51" s="180"/>
      <c r="AV51" s="180"/>
      <c r="AW51" s="180"/>
      <c r="AX51" s="180"/>
      <c r="AY51" s="180"/>
      <c r="AZ51" s="180"/>
      <c r="BA51" s="180"/>
      <c r="BB51" s="180"/>
      <c r="BC51" s="180"/>
    </row>
    <row r="52" spans="1:55" s="27" customFormat="1" ht="12.75" hidden="1" customHeight="1" x14ac:dyDescent="0.3">
      <c r="A52" s="179" t="s">
        <v>167</v>
      </c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93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209" t="s">
        <v>168</v>
      </c>
      <c r="AE52" s="180"/>
      <c r="AF52" s="180"/>
      <c r="AG52" s="180"/>
      <c r="AH52" s="180"/>
      <c r="AI52" s="180"/>
      <c r="AJ52" s="180"/>
      <c r="AK52" s="180"/>
      <c r="AL52" s="180"/>
      <c r="AM52" s="178"/>
      <c r="AN52" s="142"/>
      <c r="AO52" s="239" t="s">
        <v>162</v>
      </c>
      <c r="AP52" s="180"/>
      <c r="AQ52" s="178"/>
      <c r="AR52" s="142"/>
      <c r="AS52" s="38" t="s">
        <v>124</v>
      </c>
      <c r="AT52" s="178"/>
      <c r="AU52" s="142"/>
      <c r="AV52" s="142"/>
      <c r="AW52" s="142"/>
      <c r="AX52" s="142"/>
      <c r="AY52" s="142"/>
      <c r="AZ52" s="216">
        <v>20</v>
      </c>
      <c r="BA52" s="180"/>
      <c r="BB52" s="56"/>
      <c r="BC52" s="35" t="s">
        <v>125</v>
      </c>
    </row>
    <row r="53" spans="1:55" s="27" customFormat="1" ht="12.75" hidden="1" customHeight="1" x14ac:dyDescent="0.3">
      <c r="C53" s="54"/>
      <c r="D53" s="54"/>
      <c r="E53" s="36" t="s">
        <v>169</v>
      </c>
      <c r="F53" s="215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223" t="s">
        <v>117</v>
      </c>
      <c r="V53" s="152"/>
      <c r="W53" s="152"/>
      <c r="X53" s="235"/>
      <c r="Y53" s="144"/>
      <c r="Z53" s="144"/>
      <c r="AA53" s="144"/>
      <c r="AB53" s="209" t="s">
        <v>170</v>
      </c>
      <c r="AC53" s="180"/>
      <c r="AD53" s="180"/>
      <c r="AE53" s="180"/>
      <c r="AF53" s="180"/>
      <c r="AG53" s="180"/>
      <c r="AH53" s="180"/>
      <c r="AI53" s="180"/>
      <c r="AJ53" s="180"/>
      <c r="AK53" s="180"/>
      <c r="AL53" s="180"/>
      <c r="AM53" s="180"/>
      <c r="AN53" s="180"/>
      <c r="AO53" s="182"/>
      <c r="AP53" s="142"/>
      <c r="AQ53" s="142"/>
      <c r="AR53" s="209" t="s">
        <v>171</v>
      </c>
      <c r="AS53" s="180"/>
      <c r="AT53" s="182"/>
      <c r="AU53" s="142"/>
      <c r="AV53" s="142"/>
      <c r="AW53" s="142"/>
      <c r="AX53" s="35" t="s">
        <v>152</v>
      </c>
    </row>
    <row r="54" spans="1:55" s="27" customFormat="1" ht="9.9" hidden="1" customHeight="1" x14ac:dyDescent="0.25">
      <c r="F54" s="233" t="s">
        <v>172</v>
      </c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180"/>
    </row>
    <row r="55" spans="1:55" s="27" customFormat="1" ht="12.75" hidden="1" customHeight="1" x14ac:dyDescent="0.3">
      <c r="F55" s="35"/>
      <c r="G55" s="35"/>
      <c r="H55" s="35"/>
      <c r="I55" s="36" t="s">
        <v>158</v>
      </c>
      <c r="J55" s="35"/>
      <c r="K55" s="196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X55" s="35"/>
      <c r="Y55" s="193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O55" s="36"/>
      <c r="AP55" s="36" t="s">
        <v>165</v>
      </c>
      <c r="AQ55" s="178"/>
      <c r="AR55" s="142"/>
      <c r="AS55" s="38" t="s">
        <v>124</v>
      </c>
      <c r="AT55" s="178"/>
      <c r="AU55" s="142"/>
      <c r="AV55" s="142"/>
      <c r="AW55" s="142"/>
      <c r="AX55" s="142"/>
      <c r="AY55" s="142"/>
      <c r="AZ55" s="216">
        <v>20</v>
      </c>
      <c r="BA55" s="180"/>
      <c r="BB55" s="56"/>
      <c r="BC55" s="35" t="s">
        <v>125</v>
      </c>
    </row>
    <row r="56" spans="1:55" s="27" customFormat="1" ht="9.9" hidden="1" customHeight="1" x14ac:dyDescent="0.3">
      <c r="K56" s="181" t="s">
        <v>121</v>
      </c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X56" s="37"/>
      <c r="Y56" s="181" t="s">
        <v>122</v>
      </c>
      <c r="Z56" s="152"/>
      <c r="AA56" s="152"/>
      <c r="AB56" s="152"/>
      <c r="AC56" s="152"/>
      <c r="AD56" s="152"/>
      <c r="AE56" s="152"/>
      <c r="AF56" s="152"/>
      <c r="AG56" s="152"/>
      <c r="AH56" s="152"/>
      <c r="AI56" s="152"/>
      <c r="AJ56" s="152"/>
      <c r="AK56" s="152"/>
      <c r="AL56" s="152"/>
      <c r="AM56" s="152"/>
    </row>
    <row r="57" spans="1:55" s="27" customFormat="1" ht="12.75" customHeight="1" x14ac:dyDescent="0.25"/>
    <row r="58" spans="1:55" s="27" customFormat="1" ht="13.8" customHeight="1" x14ac:dyDescent="0.25"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9" t="s">
        <v>173</v>
      </c>
    </row>
    <row r="59" spans="1:55" s="27" customFormat="1" ht="9" customHeight="1" x14ac:dyDescent="0.25"/>
    <row r="60" spans="1:55" s="27" customFormat="1" ht="12.75" customHeight="1" x14ac:dyDescent="0.3">
      <c r="A60" s="224" t="s">
        <v>174</v>
      </c>
      <c r="B60" s="152"/>
      <c r="C60" s="152"/>
      <c r="D60" s="152"/>
      <c r="E60" s="188"/>
      <c r="F60" s="224" t="s">
        <v>175</v>
      </c>
      <c r="G60" s="152"/>
      <c r="H60" s="152"/>
      <c r="I60" s="152"/>
      <c r="J60" s="152"/>
      <c r="K60" s="152"/>
      <c r="L60" s="152"/>
      <c r="M60" s="152"/>
      <c r="N60" s="152"/>
      <c r="O60" s="188"/>
      <c r="P60" s="224" t="s">
        <v>176</v>
      </c>
      <c r="Q60" s="152"/>
      <c r="R60" s="152"/>
      <c r="S60" s="152"/>
      <c r="T60" s="152"/>
      <c r="U60" s="152"/>
      <c r="V60" s="152"/>
      <c r="W60" s="152"/>
      <c r="X60" s="188"/>
      <c r="Y60" s="191" t="s">
        <v>177</v>
      </c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5"/>
      <c r="AW60" s="224" t="s">
        <v>178</v>
      </c>
      <c r="AX60" s="152"/>
      <c r="AY60" s="152"/>
      <c r="AZ60" s="152"/>
      <c r="BA60" s="152"/>
      <c r="BB60" s="152"/>
      <c r="BC60" s="188"/>
    </row>
    <row r="61" spans="1:55" s="27" customFormat="1" ht="39.75" customHeight="1" x14ac:dyDescent="0.3">
      <c r="A61" s="225"/>
      <c r="B61" s="180"/>
      <c r="C61" s="180"/>
      <c r="D61" s="180"/>
      <c r="E61" s="207"/>
      <c r="F61" s="189"/>
      <c r="G61" s="142"/>
      <c r="H61" s="142"/>
      <c r="I61" s="142"/>
      <c r="J61" s="142"/>
      <c r="K61" s="142"/>
      <c r="L61" s="142"/>
      <c r="M61" s="142"/>
      <c r="N61" s="142"/>
      <c r="O61" s="190"/>
      <c r="P61" s="225"/>
      <c r="Q61" s="180"/>
      <c r="R61" s="180"/>
      <c r="S61" s="180"/>
      <c r="T61" s="180"/>
      <c r="U61" s="180"/>
      <c r="V61" s="180"/>
      <c r="W61" s="180"/>
      <c r="X61" s="207"/>
      <c r="Y61" s="226" t="s">
        <v>179</v>
      </c>
      <c r="Z61" s="144"/>
      <c r="AA61" s="144"/>
      <c r="AB61" s="144"/>
      <c r="AC61" s="144"/>
      <c r="AD61" s="144"/>
      <c r="AE61" s="144"/>
      <c r="AF61" s="144"/>
      <c r="AG61" s="144"/>
      <c r="AH61" s="144"/>
      <c r="AI61" s="144"/>
      <c r="AJ61" s="145"/>
      <c r="AK61" s="226" t="s">
        <v>180</v>
      </c>
      <c r="AL61" s="144"/>
      <c r="AM61" s="144"/>
      <c r="AN61" s="144"/>
      <c r="AO61" s="144"/>
      <c r="AP61" s="144"/>
      <c r="AQ61" s="144"/>
      <c r="AR61" s="144"/>
      <c r="AS61" s="144"/>
      <c r="AT61" s="144"/>
      <c r="AU61" s="144"/>
      <c r="AV61" s="145"/>
      <c r="AW61" s="225"/>
      <c r="AX61" s="180"/>
      <c r="AY61" s="180"/>
      <c r="AZ61" s="180"/>
      <c r="BA61" s="180"/>
      <c r="BB61" s="180"/>
      <c r="BC61" s="207"/>
    </row>
    <row r="62" spans="1:55" s="27" customFormat="1" ht="12.75" customHeight="1" x14ac:dyDescent="0.3">
      <c r="A62" s="189"/>
      <c r="B62" s="142"/>
      <c r="C62" s="142"/>
      <c r="D62" s="142"/>
      <c r="E62" s="190"/>
      <c r="F62" s="191" t="s">
        <v>181</v>
      </c>
      <c r="G62" s="144"/>
      <c r="H62" s="144"/>
      <c r="I62" s="144"/>
      <c r="J62" s="145"/>
      <c r="K62" s="191" t="s">
        <v>182</v>
      </c>
      <c r="L62" s="144"/>
      <c r="M62" s="144"/>
      <c r="N62" s="144"/>
      <c r="O62" s="145"/>
      <c r="P62" s="189"/>
      <c r="Q62" s="142"/>
      <c r="R62" s="142"/>
      <c r="S62" s="142"/>
      <c r="T62" s="142"/>
      <c r="U62" s="142"/>
      <c r="V62" s="142"/>
      <c r="W62" s="142"/>
      <c r="X62" s="190"/>
      <c r="Y62" s="191" t="s">
        <v>183</v>
      </c>
      <c r="Z62" s="144"/>
      <c r="AA62" s="144"/>
      <c r="AB62" s="144"/>
      <c r="AC62" s="144"/>
      <c r="AD62" s="145"/>
      <c r="AE62" s="191" t="s">
        <v>184</v>
      </c>
      <c r="AF62" s="144"/>
      <c r="AG62" s="144"/>
      <c r="AH62" s="144"/>
      <c r="AI62" s="144"/>
      <c r="AJ62" s="145"/>
      <c r="AK62" s="191" t="s">
        <v>183</v>
      </c>
      <c r="AL62" s="144"/>
      <c r="AM62" s="144"/>
      <c r="AN62" s="144"/>
      <c r="AO62" s="144"/>
      <c r="AP62" s="145"/>
      <c r="AQ62" s="191" t="s">
        <v>184</v>
      </c>
      <c r="AR62" s="144"/>
      <c r="AS62" s="144"/>
      <c r="AT62" s="144"/>
      <c r="AU62" s="144"/>
      <c r="AV62" s="145"/>
      <c r="AW62" s="189"/>
      <c r="AX62" s="142"/>
      <c r="AY62" s="142"/>
      <c r="AZ62" s="142"/>
      <c r="BA62" s="142"/>
      <c r="BB62" s="142"/>
      <c r="BC62" s="190"/>
    </row>
    <row r="63" spans="1:55" s="30" customFormat="1" ht="9" customHeight="1" x14ac:dyDescent="0.3">
      <c r="A63" s="183">
        <v>1</v>
      </c>
      <c r="B63" s="144"/>
      <c r="C63" s="144"/>
      <c r="D63" s="144"/>
      <c r="E63" s="145"/>
      <c r="F63" s="183">
        <v>2</v>
      </c>
      <c r="G63" s="144"/>
      <c r="H63" s="144"/>
      <c r="I63" s="144"/>
      <c r="J63" s="145"/>
      <c r="K63" s="183">
        <v>3</v>
      </c>
      <c r="L63" s="144"/>
      <c r="M63" s="144"/>
      <c r="N63" s="144"/>
      <c r="O63" s="145"/>
      <c r="P63" s="183">
        <v>4</v>
      </c>
      <c r="Q63" s="144"/>
      <c r="R63" s="144"/>
      <c r="S63" s="144"/>
      <c r="T63" s="144"/>
      <c r="U63" s="144"/>
      <c r="V63" s="144"/>
      <c r="W63" s="144"/>
      <c r="X63" s="145"/>
      <c r="Y63" s="183">
        <v>5</v>
      </c>
      <c r="Z63" s="144"/>
      <c r="AA63" s="144"/>
      <c r="AB63" s="144"/>
      <c r="AC63" s="144"/>
      <c r="AD63" s="145"/>
      <c r="AE63" s="183">
        <v>6</v>
      </c>
      <c r="AF63" s="144"/>
      <c r="AG63" s="144"/>
      <c r="AH63" s="144"/>
      <c r="AI63" s="144"/>
      <c r="AJ63" s="145"/>
      <c r="AK63" s="183">
        <v>7</v>
      </c>
      <c r="AL63" s="144"/>
      <c r="AM63" s="144"/>
      <c r="AN63" s="144"/>
      <c r="AO63" s="144"/>
      <c r="AP63" s="145"/>
      <c r="AQ63" s="183">
        <v>8</v>
      </c>
      <c r="AR63" s="144"/>
      <c r="AS63" s="144"/>
      <c r="AT63" s="144"/>
      <c r="AU63" s="144"/>
      <c r="AV63" s="145"/>
      <c r="AW63" s="183">
        <v>9</v>
      </c>
      <c r="AX63" s="144"/>
      <c r="AY63" s="144"/>
      <c r="AZ63" s="144"/>
      <c r="BA63" s="144"/>
      <c r="BB63" s="144"/>
      <c r="BC63" s="145"/>
    </row>
    <row r="64" spans="1:55" s="27" customFormat="1" ht="22.5" customHeight="1" x14ac:dyDescent="0.3">
      <c r="A64" s="194" t="s">
        <v>185</v>
      </c>
      <c r="B64" s="144"/>
      <c r="C64" s="144"/>
      <c r="D64" s="144"/>
      <c r="E64" s="145"/>
      <c r="F64" s="201" t="str">
        <f>IF(Лист2!D9&gt;DATEVALUE("31.01.2024"),Лист2!D9,"-")</f>
        <v>10.10.25</v>
      </c>
      <c r="G64" s="144"/>
      <c r="H64" s="144"/>
      <c r="I64" s="144"/>
      <c r="J64" s="145"/>
      <c r="K64" s="192" t="str">
        <f>IF(ISBLANK(Лист2!C9),"-",Лист2!C9)</f>
        <v>123</v>
      </c>
      <c r="L64" s="144"/>
      <c r="M64" s="144"/>
      <c r="N64" s="144"/>
      <c r="O64" s="145"/>
      <c r="P64" s="214" t="str">
        <f>IF(ISBLANK(Лист2!B9),"-",CONCATENATE("Кассовый чек ",Лист2!B9))</f>
        <v>Кассовый чек макдак</v>
      </c>
      <c r="Q64" s="144"/>
      <c r="R64" s="144"/>
      <c r="S64" s="144"/>
      <c r="T64" s="144"/>
      <c r="U64" s="144"/>
      <c r="V64" s="144"/>
      <c r="W64" s="144"/>
      <c r="X64" s="145"/>
      <c r="Y64" s="177">
        <f>IF(ISBLANK(Лист2!A9),"-",Лист2!A9)</f>
        <v>1500</v>
      </c>
      <c r="Z64" s="144"/>
      <c r="AA64" s="144"/>
      <c r="AB64" s="144"/>
      <c r="AC64" s="144"/>
      <c r="AD64" s="145"/>
      <c r="AE64" s="176"/>
      <c r="AF64" s="144"/>
      <c r="AG64" s="144"/>
      <c r="AH64" s="144"/>
      <c r="AI64" s="144"/>
      <c r="AJ64" s="145"/>
      <c r="AK64" s="176"/>
      <c r="AL64" s="144"/>
      <c r="AM64" s="144"/>
      <c r="AN64" s="144"/>
      <c r="AO64" s="144"/>
      <c r="AP64" s="145"/>
      <c r="AQ64" s="176"/>
      <c r="AR64" s="144"/>
      <c r="AS64" s="144"/>
      <c r="AT64" s="144"/>
      <c r="AU64" s="144"/>
      <c r="AV64" s="145"/>
      <c r="AW64" s="191"/>
      <c r="AX64" s="144"/>
      <c r="AY64" s="144"/>
      <c r="AZ64" s="144"/>
      <c r="BA64" s="144"/>
      <c r="BB64" s="144"/>
      <c r="BC64" s="145"/>
    </row>
    <row r="65" spans="1:55" s="27" customFormat="1" ht="22.5" customHeight="1" x14ac:dyDescent="0.3">
      <c r="A65" s="194" t="s">
        <v>186</v>
      </c>
      <c r="B65" s="144"/>
      <c r="C65" s="144"/>
      <c r="D65" s="144"/>
      <c r="E65" s="145"/>
      <c r="F65" s="201" t="str">
        <f>IF(Лист2!D10&gt;DATEVALUE("01.01.2024"),Лист2!D10,"-")</f>
        <v>10.10.25</v>
      </c>
      <c r="G65" s="144"/>
      <c r="H65" s="144"/>
      <c r="I65" s="144"/>
      <c r="J65" s="145"/>
      <c r="K65" s="192" t="str">
        <f>IF(ISBLANK(Лист2!C10),"-",Лист2!C10)</f>
        <v>111</v>
      </c>
      <c r="L65" s="144"/>
      <c r="M65" s="144"/>
      <c r="N65" s="144"/>
      <c r="O65" s="145"/>
      <c r="P65" s="214" t="str">
        <f>IF(ISBLANK(Лист2!B10),"-",CONCATENATE("Кассовый чек ",Лист2!B10))</f>
        <v>Кассовый чек макдак</v>
      </c>
      <c r="Q65" s="144"/>
      <c r="R65" s="144"/>
      <c r="S65" s="144"/>
      <c r="T65" s="144"/>
      <c r="U65" s="144"/>
      <c r="V65" s="144"/>
      <c r="W65" s="144"/>
      <c r="X65" s="145"/>
      <c r="Y65" s="177">
        <f>IF(ISBLANK(Лист2!A10),"-",Лист2!A10)</f>
        <v>2000</v>
      </c>
      <c r="Z65" s="144"/>
      <c r="AA65" s="144"/>
      <c r="AB65" s="144"/>
      <c r="AC65" s="144"/>
      <c r="AD65" s="145"/>
      <c r="AE65" s="176"/>
      <c r="AF65" s="144"/>
      <c r="AG65" s="144"/>
      <c r="AH65" s="144"/>
      <c r="AI65" s="144"/>
      <c r="AJ65" s="145"/>
      <c r="AK65" s="176"/>
      <c r="AL65" s="144"/>
      <c r="AM65" s="144"/>
      <c r="AN65" s="144"/>
      <c r="AO65" s="144"/>
      <c r="AP65" s="145"/>
      <c r="AQ65" s="176"/>
      <c r="AR65" s="144"/>
      <c r="AS65" s="144"/>
      <c r="AT65" s="144"/>
      <c r="AU65" s="144"/>
      <c r="AV65" s="145"/>
      <c r="AW65" s="191"/>
      <c r="AX65" s="144"/>
      <c r="AY65" s="144"/>
      <c r="AZ65" s="144"/>
      <c r="BA65" s="144"/>
      <c r="BB65" s="144"/>
      <c r="BC65" s="145"/>
    </row>
    <row r="66" spans="1:55" s="27" customFormat="1" ht="22.5" customHeight="1" x14ac:dyDescent="0.3">
      <c r="A66" s="194" t="s">
        <v>187</v>
      </c>
      <c r="B66" s="144"/>
      <c r="C66" s="144"/>
      <c r="D66" s="144"/>
      <c r="E66" s="145"/>
      <c r="F66" s="201" t="str">
        <f>IF(Лист2!D11&gt;DATEVALUE("01.01.2024"),Лист2!D11,"-")</f>
        <v>-</v>
      </c>
      <c r="G66" s="144"/>
      <c r="H66" s="144"/>
      <c r="I66" s="144"/>
      <c r="J66" s="145"/>
      <c r="K66" s="192" t="str">
        <f>IF(ISBLANK(Лист2!C11),"-",Лист2!C11)</f>
        <v>-</v>
      </c>
      <c r="L66" s="144"/>
      <c r="M66" s="144"/>
      <c r="N66" s="144"/>
      <c r="O66" s="145"/>
      <c r="P66" s="214" t="str">
        <f>IF(ISBLANK(Лист2!B11),"-",CONCATENATE("Кассовый чек ",Лист2!B11))</f>
        <v>-</v>
      </c>
      <c r="Q66" s="144"/>
      <c r="R66" s="144"/>
      <c r="S66" s="144"/>
      <c r="T66" s="144"/>
      <c r="U66" s="144"/>
      <c r="V66" s="144"/>
      <c r="W66" s="144"/>
      <c r="X66" s="145"/>
      <c r="Y66" s="177">
        <f>IF(ISBLANK(Лист2!A11),"-",Лист2!A11)</f>
        <v>0</v>
      </c>
      <c r="Z66" s="144"/>
      <c r="AA66" s="144"/>
      <c r="AB66" s="144"/>
      <c r="AC66" s="144"/>
      <c r="AD66" s="145"/>
      <c r="AE66" s="176"/>
      <c r="AF66" s="144"/>
      <c r="AG66" s="144"/>
      <c r="AH66" s="144"/>
      <c r="AI66" s="144"/>
      <c r="AJ66" s="145"/>
      <c r="AK66" s="176"/>
      <c r="AL66" s="144"/>
      <c r="AM66" s="144"/>
      <c r="AN66" s="144"/>
      <c r="AO66" s="144"/>
      <c r="AP66" s="145"/>
      <c r="AQ66" s="176"/>
      <c r="AR66" s="144"/>
      <c r="AS66" s="144"/>
      <c r="AT66" s="144"/>
      <c r="AU66" s="144"/>
      <c r="AV66" s="145"/>
      <c r="AW66" s="191"/>
      <c r="AX66" s="144"/>
      <c r="AY66" s="144"/>
      <c r="AZ66" s="144"/>
      <c r="BA66" s="144"/>
      <c r="BB66" s="144"/>
      <c r="BC66" s="145"/>
    </row>
    <row r="67" spans="1:55" s="27" customFormat="1" ht="22.5" customHeight="1" x14ac:dyDescent="0.3">
      <c r="A67" s="194" t="s">
        <v>188</v>
      </c>
      <c r="B67" s="144"/>
      <c r="C67" s="144"/>
      <c r="D67" s="144"/>
      <c r="E67" s="145"/>
      <c r="F67" s="201" t="str">
        <f>IF(Лист2!D12&gt;DATEVALUE("01.01.2024"),Лист2!D12,"-")</f>
        <v>-</v>
      </c>
      <c r="G67" s="144"/>
      <c r="H67" s="144"/>
      <c r="I67" s="144"/>
      <c r="J67" s="145"/>
      <c r="K67" s="192" t="str">
        <f>IF(ISBLANK(Лист2!C12),"-",Лист2!C12)</f>
        <v>-</v>
      </c>
      <c r="L67" s="144"/>
      <c r="M67" s="144"/>
      <c r="N67" s="144"/>
      <c r="O67" s="145"/>
      <c r="P67" s="214" t="str">
        <f>IF(ISBLANK(Лист2!B12),"-",CONCATENATE("Кассовый чек ",Лист2!B12))</f>
        <v>-</v>
      </c>
      <c r="Q67" s="144"/>
      <c r="R67" s="144"/>
      <c r="S67" s="144"/>
      <c r="T67" s="144"/>
      <c r="U67" s="144"/>
      <c r="V67" s="144"/>
      <c r="W67" s="144"/>
      <c r="X67" s="145"/>
      <c r="Y67" s="177">
        <f>IF(ISBLANK(Лист2!A12),"-",Лист2!A12)</f>
        <v>0</v>
      </c>
      <c r="Z67" s="144"/>
      <c r="AA67" s="144"/>
      <c r="AB67" s="144"/>
      <c r="AC67" s="144"/>
      <c r="AD67" s="145"/>
      <c r="AE67" s="176"/>
      <c r="AF67" s="144"/>
      <c r="AG67" s="144"/>
      <c r="AH67" s="144"/>
      <c r="AI67" s="144"/>
      <c r="AJ67" s="145"/>
      <c r="AK67" s="176"/>
      <c r="AL67" s="144"/>
      <c r="AM67" s="144"/>
      <c r="AN67" s="144"/>
      <c r="AO67" s="144"/>
      <c r="AP67" s="145"/>
      <c r="AQ67" s="176"/>
      <c r="AR67" s="144"/>
      <c r="AS67" s="144"/>
      <c r="AT67" s="144"/>
      <c r="AU67" s="144"/>
      <c r="AV67" s="145"/>
      <c r="AW67" s="191"/>
      <c r="AX67" s="144"/>
      <c r="AY67" s="144"/>
      <c r="AZ67" s="144"/>
      <c r="BA67" s="144"/>
      <c r="BB67" s="144"/>
      <c r="BC67" s="145"/>
    </row>
    <row r="68" spans="1:55" s="27" customFormat="1" ht="22.5" customHeight="1" x14ac:dyDescent="0.3">
      <c r="A68" s="194" t="s">
        <v>189</v>
      </c>
      <c r="B68" s="144"/>
      <c r="C68" s="144"/>
      <c r="D68" s="144"/>
      <c r="E68" s="145"/>
      <c r="F68" s="201" t="str">
        <f>IF(Лист2!D13&gt;DATEVALUE("01.01.2024"),Лист2!D13,"-")</f>
        <v>-</v>
      </c>
      <c r="G68" s="144"/>
      <c r="H68" s="144"/>
      <c r="I68" s="144"/>
      <c r="J68" s="145"/>
      <c r="K68" s="192" t="str">
        <f>IF(ISBLANK(Лист2!C13),"-",Лист2!C13)</f>
        <v>-</v>
      </c>
      <c r="L68" s="144"/>
      <c r="M68" s="144"/>
      <c r="N68" s="144"/>
      <c r="O68" s="145"/>
      <c r="P68" s="214" t="str">
        <f>IF(ISBLANK(Лист2!B13),"-",CONCATENATE("Кассовый чек ",Лист2!B13))</f>
        <v>-</v>
      </c>
      <c r="Q68" s="144"/>
      <c r="R68" s="144"/>
      <c r="S68" s="144"/>
      <c r="T68" s="144"/>
      <c r="U68" s="144"/>
      <c r="V68" s="144"/>
      <c r="W68" s="144"/>
      <c r="X68" s="145"/>
      <c r="Y68" s="177">
        <f>IF(ISBLANK(Лист2!A13),"-",Лист2!A13)</f>
        <v>0</v>
      </c>
      <c r="Z68" s="144"/>
      <c r="AA68" s="144"/>
      <c r="AB68" s="144"/>
      <c r="AC68" s="144"/>
      <c r="AD68" s="145"/>
      <c r="AE68" s="176"/>
      <c r="AF68" s="144"/>
      <c r="AG68" s="144"/>
      <c r="AH68" s="144"/>
      <c r="AI68" s="144"/>
      <c r="AJ68" s="145"/>
      <c r="AK68" s="176"/>
      <c r="AL68" s="144"/>
      <c r="AM68" s="144"/>
      <c r="AN68" s="144"/>
      <c r="AO68" s="144"/>
      <c r="AP68" s="145"/>
      <c r="AQ68" s="176"/>
      <c r="AR68" s="144"/>
      <c r="AS68" s="144"/>
      <c r="AT68" s="144"/>
      <c r="AU68" s="144"/>
      <c r="AV68" s="145"/>
      <c r="AW68" s="191"/>
      <c r="AX68" s="144"/>
      <c r="AY68" s="144"/>
      <c r="AZ68" s="144"/>
      <c r="BA68" s="144"/>
      <c r="BB68" s="144"/>
      <c r="BC68" s="145"/>
    </row>
    <row r="69" spans="1:55" s="27" customFormat="1" ht="12.75" customHeight="1" x14ac:dyDescent="0.3">
      <c r="P69" s="238" t="s">
        <v>190</v>
      </c>
      <c r="Q69" s="152"/>
      <c r="R69" s="152"/>
      <c r="S69" s="152"/>
      <c r="T69" s="152"/>
      <c r="U69" s="152"/>
      <c r="V69" s="152"/>
      <c r="W69" s="152"/>
      <c r="X69" s="188"/>
      <c r="Y69" s="184">
        <f>SUM(Y64:AD68)</f>
        <v>3500</v>
      </c>
      <c r="Z69" s="144"/>
      <c r="AA69" s="144"/>
      <c r="AB69" s="144"/>
      <c r="AC69" s="144"/>
      <c r="AD69" s="145"/>
      <c r="AE69" s="191"/>
      <c r="AF69" s="144"/>
      <c r="AG69" s="144"/>
      <c r="AH69" s="144"/>
      <c r="AI69" s="144"/>
      <c r="AJ69" s="145"/>
      <c r="AK69" s="191"/>
      <c r="AL69" s="144"/>
      <c r="AM69" s="144"/>
      <c r="AN69" s="144"/>
      <c r="AO69" s="144"/>
      <c r="AP69" s="145"/>
      <c r="AQ69" s="191"/>
      <c r="AR69" s="144"/>
      <c r="AS69" s="144"/>
      <c r="AT69" s="144"/>
      <c r="AU69" s="144"/>
      <c r="AV69" s="145"/>
      <c r="AW69" s="213"/>
      <c r="AX69" s="152"/>
      <c r="AY69" s="152"/>
      <c r="AZ69" s="152"/>
      <c r="BA69" s="152"/>
      <c r="BB69" s="152"/>
      <c r="BC69" s="152"/>
    </row>
    <row r="70" spans="1:55" s="27" customFormat="1" ht="12.75" customHeight="1" x14ac:dyDescent="0.25"/>
    <row r="71" spans="1:55" s="27" customFormat="1" ht="15.75" customHeight="1" x14ac:dyDescent="0.3">
      <c r="A71" s="31" t="s">
        <v>128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199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I71" s="199" t="str">
        <f>Лист2!B5</f>
        <v>Савин В.О.</v>
      </c>
      <c r="AJ71" s="142"/>
      <c r="AK71" s="142"/>
      <c r="AL71" s="142"/>
      <c r="AM71" s="142"/>
      <c r="AN71" s="142"/>
      <c r="AO71" s="142"/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</row>
    <row r="72" spans="1:55" s="27" customFormat="1" ht="14.1" customHeight="1" x14ac:dyDescent="0.3">
      <c r="L72" s="202" t="s">
        <v>121</v>
      </c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152"/>
      <c r="Z72" s="152"/>
      <c r="AA72" s="152"/>
      <c r="AB72" s="152"/>
      <c r="AC72" s="152"/>
      <c r="AD72" s="32"/>
      <c r="AE72" s="32"/>
      <c r="AF72" s="32"/>
      <c r="AG72" s="32"/>
      <c r="AH72" s="32"/>
      <c r="AI72" s="202" t="s">
        <v>122</v>
      </c>
      <c r="AJ72" s="152"/>
      <c r="AK72" s="152"/>
      <c r="AL72" s="152"/>
      <c r="AM72" s="152"/>
      <c r="AN72" s="152"/>
      <c r="AO72" s="152"/>
      <c r="AP72" s="152"/>
      <c r="AQ72" s="152"/>
      <c r="AR72" s="152"/>
      <c r="AS72" s="152"/>
      <c r="AT72" s="152"/>
      <c r="AU72" s="152"/>
      <c r="AV72" s="152"/>
      <c r="AW72" s="152"/>
      <c r="AX72" s="152"/>
      <c r="AY72" s="152"/>
      <c r="AZ72" s="152"/>
      <c r="BA72" s="152"/>
      <c r="BB72" s="152"/>
      <c r="BC72" s="152"/>
    </row>
  </sheetData>
  <mergeCells count="249">
    <mergeCell ref="A21:J21"/>
    <mergeCell ref="A68:E68"/>
    <mergeCell ref="AP31:AV31"/>
    <mergeCell ref="AE66:AJ66"/>
    <mergeCell ref="P69:X69"/>
    <mergeCell ref="F60:O61"/>
    <mergeCell ref="K55:V55"/>
    <mergeCell ref="AZ48:BA48"/>
    <mergeCell ref="AW35:BC35"/>
    <mergeCell ref="AO52:AP52"/>
    <mergeCell ref="AK65:AP65"/>
    <mergeCell ref="J27:Q27"/>
    <mergeCell ref="N23:X23"/>
    <mergeCell ref="AW32:BC32"/>
    <mergeCell ref="R28:X28"/>
    <mergeCell ref="F62:J62"/>
    <mergeCell ref="K67:O67"/>
    <mergeCell ref="AY39:AZ39"/>
    <mergeCell ref="AH34:AO34"/>
    <mergeCell ref="R30:X30"/>
    <mergeCell ref="AQ65:AV65"/>
    <mergeCell ref="AH27:AO27"/>
    <mergeCell ref="AK61:AV61"/>
    <mergeCell ref="AP29:AV29"/>
    <mergeCell ref="X53:AA53"/>
    <mergeCell ref="A51:BC51"/>
    <mergeCell ref="A26:I27"/>
    <mergeCell ref="P60:X62"/>
    <mergeCell ref="Y63:AD63"/>
    <mergeCell ref="AW33:BC33"/>
    <mergeCell ref="AM39:AP39"/>
    <mergeCell ref="A29:K29"/>
    <mergeCell ref="AW65:BC65"/>
    <mergeCell ref="A64:E64"/>
    <mergeCell ref="AE67:AJ67"/>
    <mergeCell ref="AQ13:BC13"/>
    <mergeCell ref="P65:X65"/>
    <mergeCell ref="F68:J68"/>
    <mergeCell ref="AJ12:AT12"/>
    <mergeCell ref="T45:U45"/>
    <mergeCell ref="AB53:AN53"/>
    <mergeCell ref="L71:AC71"/>
    <mergeCell ref="F54:V54"/>
    <mergeCell ref="AW60:BC62"/>
    <mergeCell ref="AK64:AP64"/>
    <mergeCell ref="R33:X33"/>
    <mergeCell ref="AZ45:BA45"/>
    <mergeCell ref="AX12:AZ12"/>
    <mergeCell ref="AA32:AG32"/>
    <mergeCell ref="AH28:AO28"/>
    <mergeCell ref="AZ55:BA55"/>
    <mergeCell ref="S39:AI39"/>
    <mergeCell ref="AT55:AY55"/>
    <mergeCell ref="K63:O63"/>
    <mergeCell ref="Y65:AD65"/>
    <mergeCell ref="AA29:AG29"/>
    <mergeCell ref="AM52:AN52"/>
    <mergeCell ref="J41:W41"/>
    <mergeCell ref="AD52:AL52"/>
    <mergeCell ref="AK66:AP66"/>
    <mergeCell ref="AW34:BC34"/>
    <mergeCell ref="AI23:BC23"/>
    <mergeCell ref="A46:I47"/>
    <mergeCell ref="BA12:BC12"/>
    <mergeCell ref="AW68:BC68"/>
    <mergeCell ref="F67:J67"/>
    <mergeCell ref="S37:V37"/>
    <mergeCell ref="Y68:AD68"/>
    <mergeCell ref="AJ13:AP13"/>
    <mergeCell ref="AZ17:BA17"/>
    <mergeCell ref="J43:W43"/>
    <mergeCell ref="AT53:AW53"/>
    <mergeCell ref="Y55:AM55"/>
    <mergeCell ref="R26:X26"/>
    <mergeCell ref="AW30:BC30"/>
    <mergeCell ref="AQ66:AV66"/>
    <mergeCell ref="AS15:BC15"/>
    <mergeCell ref="K62:O62"/>
    <mergeCell ref="AW29:BC29"/>
    <mergeCell ref="AA35:AG35"/>
    <mergeCell ref="AQ68:AV68"/>
    <mergeCell ref="AU8:BA8"/>
    <mergeCell ref="AJ10:AQ10"/>
    <mergeCell ref="Y49:AM49"/>
    <mergeCell ref="R29:X29"/>
    <mergeCell ref="A66:E66"/>
    <mergeCell ref="K48:V48"/>
    <mergeCell ref="AE65:AJ65"/>
    <mergeCell ref="AJ11:AP11"/>
    <mergeCell ref="AQ52:AR52"/>
    <mergeCell ref="AQ11:BC11"/>
    <mergeCell ref="Y61:AJ61"/>
    <mergeCell ref="AO45:AP45"/>
    <mergeCell ref="AX17:AY17"/>
    <mergeCell ref="AR20:AZ20"/>
    <mergeCell ref="L37:R37"/>
    <mergeCell ref="AU12:AW12"/>
    <mergeCell ref="AA27:AG27"/>
    <mergeCell ref="P20:AQ20"/>
    <mergeCell ref="AQ39:AR39"/>
    <mergeCell ref="A43:I43"/>
    <mergeCell ref="S40:AI40"/>
    <mergeCell ref="R31:X31"/>
    <mergeCell ref="AW66:BC66"/>
    <mergeCell ref="Y66:AD66"/>
    <mergeCell ref="AI1:BC1"/>
    <mergeCell ref="AH32:AO32"/>
    <mergeCell ref="K65:O65"/>
    <mergeCell ref="A8:AL8"/>
    <mergeCell ref="A28:Q28"/>
    <mergeCell ref="AP34:AV34"/>
    <mergeCell ref="AK62:AP62"/>
    <mergeCell ref="J42:W42"/>
    <mergeCell ref="AJ39:AL39"/>
    <mergeCell ref="B34:Q34"/>
    <mergeCell ref="Y64:AD64"/>
    <mergeCell ref="AA31:AG31"/>
    <mergeCell ref="AA42:BC42"/>
    <mergeCell ref="AL45:AN45"/>
    <mergeCell ref="AE62:AJ62"/>
    <mergeCell ref="AP27:AV27"/>
    <mergeCell ref="AM17:AN17"/>
    <mergeCell ref="J44:W44"/>
    <mergeCell ref="AW31:BC31"/>
    <mergeCell ref="AQ62:AV62"/>
    <mergeCell ref="A9:AL9"/>
    <mergeCell ref="F14:T15"/>
    <mergeCell ref="AU7:BA7"/>
    <mergeCell ref="L30:Q30"/>
    <mergeCell ref="AI72:BC72"/>
    <mergeCell ref="A25:Q25"/>
    <mergeCell ref="AE68:AJ68"/>
    <mergeCell ref="A20:O20"/>
    <mergeCell ref="AW67:BC67"/>
    <mergeCell ref="AH31:AO31"/>
    <mergeCell ref="AT45:AY45"/>
    <mergeCell ref="AA34:AG34"/>
    <mergeCell ref="AW28:BC28"/>
    <mergeCell ref="AR53:AS53"/>
    <mergeCell ref="AK67:AP67"/>
    <mergeCell ref="K21:AF21"/>
    <mergeCell ref="AQ48:AR48"/>
    <mergeCell ref="K49:V49"/>
    <mergeCell ref="AW69:BC69"/>
    <mergeCell ref="P64:X64"/>
    <mergeCell ref="F53:T53"/>
    <mergeCell ref="AH30:AO30"/>
    <mergeCell ref="AA41:BC41"/>
    <mergeCell ref="AZ52:BA52"/>
    <mergeCell ref="AT52:AY52"/>
    <mergeCell ref="R27:X27"/>
    <mergeCell ref="Y62:AD62"/>
    <mergeCell ref="R35:X35"/>
    <mergeCell ref="AU6:BA6"/>
    <mergeCell ref="AA25:BC25"/>
    <mergeCell ref="A32:Q32"/>
    <mergeCell ref="J45:M45"/>
    <mergeCell ref="Y56:AM56"/>
    <mergeCell ref="AE63:AJ63"/>
    <mergeCell ref="AP17:AW17"/>
    <mergeCell ref="V45:X46"/>
    <mergeCell ref="A52:N52"/>
    <mergeCell ref="Z14:AE15"/>
    <mergeCell ref="A63:E63"/>
    <mergeCell ref="AJ16:AQ16"/>
    <mergeCell ref="AP30:AV30"/>
    <mergeCell ref="A31:Q31"/>
    <mergeCell ref="AT48:AY48"/>
    <mergeCell ref="AW63:BC63"/>
    <mergeCell ref="A30:K30"/>
    <mergeCell ref="AW39:AX39"/>
    <mergeCell ref="Y45:AK45"/>
    <mergeCell ref="AR19:AZ19"/>
    <mergeCell ref="AA26:AO26"/>
    <mergeCell ref="BA39:BC39"/>
    <mergeCell ref="AP32:AV32"/>
    <mergeCell ref="Y60:AV60"/>
    <mergeCell ref="AI71:BC71"/>
    <mergeCell ref="U13:Y13"/>
    <mergeCell ref="F66:J66"/>
    <mergeCell ref="L72:AC72"/>
    <mergeCell ref="Y48:AM48"/>
    <mergeCell ref="AP33:AV33"/>
    <mergeCell ref="J26:Q26"/>
    <mergeCell ref="R34:X34"/>
    <mergeCell ref="AA30:AG30"/>
    <mergeCell ref="AP35:AV35"/>
    <mergeCell ref="R25:X25"/>
    <mergeCell ref="K66:O66"/>
    <mergeCell ref="AW64:BC64"/>
    <mergeCell ref="F64:J64"/>
    <mergeCell ref="F65:J65"/>
    <mergeCell ref="K68:O68"/>
    <mergeCell ref="W37:Z37"/>
    <mergeCell ref="AW27:BC27"/>
    <mergeCell ref="AA44:BC44"/>
    <mergeCell ref="AQ63:AV63"/>
    <mergeCell ref="AH29:AO29"/>
    <mergeCell ref="Z13:AE13"/>
    <mergeCell ref="AP26:BC26"/>
    <mergeCell ref="G37:K37"/>
    <mergeCell ref="Y69:AD69"/>
    <mergeCell ref="K56:V56"/>
    <mergeCell ref="AP8:AT8"/>
    <mergeCell ref="U14:Y15"/>
    <mergeCell ref="AK69:AP69"/>
    <mergeCell ref="K64:O64"/>
    <mergeCell ref="AA43:BC43"/>
    <mergeCell ref="A65:E65"/>
    <mergeCell ref="AQ67:AV67"/>
    <mergeCell ref="A23:L23"/>
    <mergeCell ref="Z23:AH23"/>
    <mergeCell ref="B35:Q35"/>
    <mergeCell ref="AE69:AJ69"/>
    <mergeCell ref="AT39:AV39"/>
    <mergeCell ref="O52:AC52"/>
    <mergeCell ref="AQ69:AV69"/>
    <mergeCell ref="AR21:AZ21"/>
    <mergeCell ref="AA28:AG28"/>
    <mergeCell ref="K22:AA22"/>
    <mergeCell ref="AJ15:AQ15"/>
    <mergeCell ref="AS16:BC16"/>
    <mergeCell ref="P63:X63"/>
    <mergeCell ref="A45:I45"/>
    <mergeCell ref="A67:E67"/>
    <mergeCell ref="R32:X32"/>
    <mergeCell ref="AK68:AP68"/>
    <mergeCell ref="Y67:AD67"/>
    <mergeCell ref="AQ55:AR55"/>
    <mergeCell ref="A41:I41"/>
    <mergeCell ref="AQ14:BC14"/>
    <mergeCell ref="AO53:AQ53"/>
    <mergeCell ref="F63:J63"/>
    <mergeCell ref="AQ45:AR45"/>
    <mergeCell ref="AH33:AO33"/>
    <mergeCell ref="P67:X67"/>
    <mergeCell ref="U53:W53"/>
    <mergeCell ref="AE64:AJ64"/>
    <mergeCell ref="L29:Q29"/>
    <mergeCell ref="AQ64:AV64"/>
    <mergeCell ref="A60:E62"/>
    <mergeCell ref="AK63:AP63"/>
    <mergeCell ref="N45:S46"/>
    <mergeCell ref="AP28:AV28"/>
    <mergeCell ref="AH35:AO35"/>
    <mergeCell ref="P66:X66"/>
    <mergeCell ref="P68:X68"/>
    <mergeCell ref="AA33:AG33"/>
    <mergeCell ref="A33:Q33"/>
  </mergeCells>
  <pageMargins left="0.7" right="0.7" top="0.75" bottom="0.75" header="0.3" footer="0.3"/>
  <pageSetup paperSize="9" scale="9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H52"/>
  <sheetViews>
    <sheetView view="pageBreakPreview" topLeftCell="A25" zoomScaleNormal="100" zoomScaleSheetLayoutView="100" workbookViewId="0">
      <selection activeCell="A24" sqref="A24:G24"/>
    </sheetView>
  </sheetViews>
  <sheetFormatPr defaultColWidth="9.109375" defaultRowHeight="15.6" x14ac:dyDescent="0.3"/>
  <cols>
    <col min="1" max="1" width="11.33203125" style="7" bestFit="1" customWidth="1"/>
    <col min="2" max="2" width="7.88671875" style="7" customWidth="1"/>
    <col min="3" max="3" width="9.109375" style="7" customWidth="1"/>
    <col min="4" max="4" width="9.88671875" style="7" customWidth="1"/>
    <col min="5" max="5" width="19" style="7" customWidth="1"/>
    <col min="6" max="6" width="17.44140625" style="7" customWidth="1"/>
    <col min="7" max="7" width="17" style="7" customWidth="1"/>
    <col min="8" max="8" width="14.109375" style="7" customWidth="1"/>
    <col min="9" max="12" width="9.109375" style="7" customWidth="1"/>
    <col min="13" max="16384" width="9.109375" style="7"/>
  </cols>
  <sheetData>
    <row r="1" spans="1:8" x14ac:dyDescent="0.3">
      <c r="A1" s="1"/>
      <c r="F1" s="7" t="s">
        <v>0</v>
      </c>
    </row>
    <row r="2" spans="1:8" ht="33.75" customHeight="1" x14ac:dyDescent="0.3">
      <c r="A2" s="1"/>
      <c r="F2" s="240" t="str">
        <f>IF(ISBLANK(Лист2!B2),"_",Лист2!B2)</f>
        <v>Заместитель Генерального директора по экономике и финансам</v>
      </c>
      <c r="G2" s="142"/>
      <c r="H2" s="142"/>
    </row>
    <row r="3" spans="1:8" x14ac:dyDescent="0.3">
      <c r="A3" s="2"/>
      <c r="F3" s="146" t="str">
        <f>IF(ISBLANK(Лист2!B3),"_",Лист2!B3)</f>
        <v>Акакин Д.В.</v>
      </c>
      <c r="G3" s="142"/>
      <c r="H3" s="142"/>
    </row>
    <row r="4" spans="1:8" ht="32.25" customHeight="1" x14ac:dyDescent="0.3">
      <c r="A4" s="2"/>
      <c r="F4" s="7" t="s">
        <v>191</v>
      </c>
    </row>
    <row r="5" spans="1:8" x14ac:dyDescent="0.3">
      <c r="F5" s="6"/>
    </row>
    <row r="6" spans="1:8" x14ac:dyDescent="0.3">
      <c r="A6" s="2"/>
      <c r="E6" s="4" t="s">
        <v>192</v>
      </c>
    </row>
    <row r="7" spans="1:8" s="31" customFormat="1" x14ac:dyDescent="0.3">
      <c r="A7" s="79"/>
      <c r="B7" s="75" t="s">
        <v>193</v>
      </c>
    </row>
    <row r="8" spans="1:8" x14ac:dyDescent="0.3">
      <c r="A8" s="3"/>
    </row>
    <row r="9" spans="1:8" x14ac:dyDescent="0.3">
      <c r="A9" s="3" t="s">
        <v>194</v>
      </c>
      <c r="G9" s="253">
        <f>Лист2!B4</f>
        <v>45945</v>
      </c>
      <c r="H9" s="170"/>
    </row>
    <row r="11" spans="1:8" x14ac:dyDescent="0.3">
      <c r="A11" s="3" t="s">
        <v>195</v>
      </c>
    </row>
    <row r="12" spans="1:8" x14ac:dyDescent="0.3">
      <c r="A12" s="3"/>
    </row>
    <row r="13" spans="1:8" ht="46.5" customHeight="1" x14ac:dyDescent="0.3">
      <c r="A13" s="250" t="s">
        <v>196</v>
      </c>
      <c r="B13" s="145"/>
      <c r="C13" s="174" t="s">
        <v>197</v>
      </c>
      <c r="D13" s="144"/>
      <c r="E13" s="145"/>
      <c r="F13" s="243" t="s">
        <v>198</v>
      </c>
      <c r="G13" s="144"/>
      <c r="H13" s="145"/>
    </row>
    <row r="14" spans="1:8" ht="31.5" customHeight="1" x14ac:dyDescent="0.3">
      <c r="A14" s="245" t="s">
        <v>199</v>
      </c>
      <c r="B14" s="145"/>
      <c r="C14" s="174" t="s">
        <v>200</v>
      </c>
      <c r="D14" s="144"/>
      <c r="E14" s="145"/>
      <c r="F14" s="243" t="s">
        <v>201</v>
      </c>
      <c r="G14" s="144"/>
      <c r="H14" s="145"/>
    </row>
    <row r="15" spans="1:8" ht="20.25" customHeight="1" x14ac:dyDescent="0.3">
      <c r="A15" s="243" t="s">
        <v>199</v>
      </c>
      <c r="B15" s="188"/>
      <c r="C15" s="242" t="s">
        <v>202</v>
      </c>
      <c r="D15" s="152"/>
      <c r="E15" s="152"/>
      <c r="F15" s="243" t="s">
        <v>203</v>
      </c>
      <c r="G15" s="152"/>
      <c r="H15" s="188"/>
    </row>
    <row r="16" spans="1:8" ht="33" customHeight="1" x14ac:dyDescent="0.3">
      <c r="A16" s="189"/>
      <c r="B16" s="190"/>
      <c r="C16" s="189"/>
      <c r="D16" s="142"/>
      <c r="E16" s="142"/>
      <c r="F16" s="189"/>
      <c r="G16" s="142"/>
      <c r="H16" s="190"/>
    </row>
    <row r="17" spans="1:8" ht="8.25" customHeight="1" x14ac:dyDescent="0.3">
      <c r="A17" s="3"/>
      <c r="B17" s="3"/>
      <c r="C17" s="9"/>
    </row>
    <row r="18" spans="1:8" x14ac:dyDescent="0.3">
      <c r="A18" s="169" t="str">
        <f>CONCATENATE("действующая на основании Приказов АО «Россети Цифра» №РЦ-ПРИ-238 от 28.08.2024г., №РЦ-ПРИ-183 от 25.07.2025г. произвела проверку документов, представленных ",VLOOKUP(Лист2!B5,Лист1!A2:C6,3,))</f>
        <v>действующая на основании Приказов АО «Россети Цифра» №РЦ-ПРИ-238 от 28.08.2024г., №РЦ-ПРИ-183 от 25.07.2025г. произвела проверку документов, представленных Савиным В.О.</v>
      </c>
      <c r="B18" s="170"/>
      <c r="C18" s="170"/>
      <c r="D18" s="170"/>
      <c r="E18" s="170"/>
      <c r="F18" s="170"/>
      <c r="G18" s="170"/>
      <c r="H18" s="170"/>
    </row>
    <row r="19" spans="1:8" x14ac:dyDescent="0.3">
      <c r="A19" s="170"/>
      <c r="B19" s="170"/>
      <c r="C19" s="170"/>
      <c r="D19" s="170"/>
      <c r="E19" s="170"/>
      <c r="F19" s="170"/>
      <c r="G19" s="170"/>
      <c r="H19" s="170"/>
    </row>
    <row r="20" spans="1:8" ht="36" customHeight="1" x14ac:dyDescent="0.3">
      <c r="A20" s="249" t="str">
        <f>CONCATENATE("В результате ознакомления с предоставленными документами, комиссия установила, что на проведение официальной встречи  с представителями организации ",Лист2!B33," было израсходовано:")</f>
        <v>В результате ознакомления с предоставленными документами, комиссия установила, что на проведение официальной встречи  с представителями организации РОССЕТИ было израсходовано:</v>
      </c>
      <c r="B20" s="170"/>
      <c r="C20" s="170"/>
      <c r="D20" s="170"/>
      <c r="E20" s="170"/>
      <c r="F20" s="170"/>
      <c r="G20" s="170"/>
      <c r="H20" s="170"/>
    </row>
    <row r="21" spans="1:8" ht="22.5" customHeight="1" x14ac:dyDescent="0.3">
      <c r="A21" s="26" t="s">
        <v>14</v>
      </c>
      <c r="B21" s="252" t="s">
        <v>204</v>
      </c>
      <c r="C21" s="144"/>
      <c r="D21" s="145"/>
      <c r="E21" s="247" t="s">
        <v>205</v>
      </c>
      <c r="F21" s="144"/>
      <c r="G21" s="145"/>
      <c r="H21" s="26" t="s">
        <v>206</v>
      </c>
    </row>
    <row r="22" spans="1:8" ht="39.75" customHeight="1" x14ac:dyDescent="0.3">
      <c r="A22" s="114" t="str">
        <f>IF(Лист2!D9&gt;DATEVALUE("01.01.2024"),Лист2!D9,"-")</f>
        <v>10.10.25</v>
      </c>
      <c r="B22" s="174" t="str">
        <f>Лист2!B21</f>
        <v>организация деловой встречи</v>
      </c>
      <c r="C22" s="144"/>
      <c r="D22" s="145"/>
      <c r="E22" s="112" t="str">
        <f>АО!P64</f>
        <v>Кассовый чек макдак</v>
      </c>
      <c r="F22" s="60" t="str">
        <f>АО!K64</f>
        <v>123</v>
      </c>
      <c r="G22" s="59" t="str">
        <f>АО!F64</f>
        <v>10.10.25</v>
      </c>
      <c r="H22" s="61">
        <f>АО!Y64</f>
        <v>1500</v>
      </c>
    </row>
    <row r="23" spans="1:8" ht="39.75" customHeight="1" x14ac:dyDescent="0.3">
      <c r="A23" s="114" t="str">
        <f>IF(Лист2!D10&gt;DATEVALUE("01.01.2024"),Лист2!D10,"-")</f>
        <v>10.10.25</v>
      </c>
      <c r="B23" s="174" t="str">
        <f>IF(ISBLANK(Лист2!A22),"-",Лист2!A21)</f>
        <v>-</v>
      </c>
      <c r="C23" s="144"/>
      <c r="D23" s="145"/>
      <c r="E23" s="112" t="str">
        <f>АО!P65</f>
        <v>Кассовый чек макдак</v>
      </c>
      <c r="F23" s="60" t="str">
        <f>АО!K65</f>
        <v>111</v>
      </c>
      <c r="G23" s="59" t="str">
        <f>АО!F65</f>
        <v>10.10.25</v>
      </c>
      <c r="H23" s="61">
        <f>АО!Y65</f>
        <v>2000</v>
      </c>
    </row>
    <row r="24" spans="1:8" ht="31.5" customHeight="1" x14ac:dyDescent="0.3">
      <c r="A24" s="244" t="s">
        <v>207</v>
      </c>
      <c r="B24" s="144"/>
      <c r="C24" s="144"/>
      <c r="D24" s="144"/>
      <c r="E24" s="144"/>
      <c r="F24" s="144"/>
      <c r="G24" s="145"/>
      <c r="H24" s="61">
        <f>SUM(H22:H23)</f>
        <v>3500</v>
      </c>
    </row>
    <row r="25" spans="1:8" ht="13.5" customHeight="1" x14ac:dyDescent="0.3">
      <c r="A25" s="2"/>
    </row>
    <row r="26" spans="1:8" s="31" customFormat="1" x14ac:dyDescent="0.3">
      <c r="A26" s="75" t="s">
        <v>208</v>
      </c>
    </row>
    <row r="27" spans="1:8" ht="13.5" customHeight="1" x14ac:dyDescent="0.3">
      <c r="A27" s="2"/>
    </row>
    <row r="28" spans="1:8" s="31" customFormat="1" x14ac:dyDescent="0.3">
      <c r="A28" s="75" t="s">
        <v>209</v>
      </c>
      <c r="G28" s="83"/>
    </row>
    <row r="29" spans="1:8" s="31" customFormat="1" x14ac:dyDescent="0.3">
      <c r="A29" s="85" t="str">
        <f>CONCATENATE(TEXT(H24,"# #0\ руб\.,\ 00\ коп.")," (",Лист2!B15,").")</f>
        <v>3 500 руб., 00 коп. (три тысячи пятьсот рублей рублей 00 копеек).</v>
      </c>
      <c r="B29" s="99"/>
      <c r="C29" s="84"/>
    </row>
    <row r="30" spans="1:8" ht="14.25" customHeight="1" x14ac:dyDescent="0.3">
      <c r="A30" s="3"/>
    </row>
    <row r="31" spans="1:8" x14ac:dyDescent="0.3">
      <c r="A31" s="3" t="s">
        <v>210</v>
      </c>
    </row>
    <row r="32" spans="1:8" s="31" customFormat="1" ht="46.5" customHeight="1" x14ac:dyDescent="0.3">
      <c r="A32" s="248" t="str">
        <f>CONCATENATE("Списать с подотчета  ",VLOOKUP(Лист2!B5,Лист1!A2:E6,5,)," ",VLOOKUP(Лист2!B5,Лист1!A2:C6,2,FALSE)," ","представительские расходы в размере ",A29,"с их отнесением:")</f>
        <v>Списать с подотчета  Заместителя Генерального директора – Руководителя Аппарата Савина В.О. представительские расходы в размере 3 500 руб., 00 коп. (три тысячи пятьсот рублей рублей 00 копеек).с их отнесением:</v>
      </c>
      <c r="B32" s="164"/>
      <c r="C32" s="164"/>
      <c r="D32" s="164"/>
      <c r="E32" s="164"/>
      <c r="F32" s="164"/>
      <c r="G32" s="164"/>
      <c r="H32" s="164"/>
    </row>
    <row r="33" spans="1:8" s="31" customFormat="1" ht="33" customHeight="1" x14ac:dyDescent="0.3">
      <c r="A33" s="246" t="str">
        <f>CONCATENATE("-на расходы, связанные с производством и реализацией, в пределах установленных законодательством  норм в сумме ",TEXT(H24,"# #0\ руб\.,\ 00\ коп.")," (",Лист2!B15,").")</f>
        <v>-на расходы, связанные с производством и реализацией, в пределах установленных законодательством  норм в сумме 3 500 руб., 00 коп. (три тысячи пятьсот рублей рублей 00 копеек).</v>
      </c>
      <c r="B33" s="164"/>
      <c r="C33" s="164"/>
      <c r="D33" s="164"/>
      <c r="E33" s="164"/>
      <c r="F33" s="164"/>
      <c r="G33" s="164"/>
      <c r="H33" s="164"/>
    </row>
    <row r="34" spans="1:8" s="31" customFormat="1" x14ac:dyDescent="0.3">
      <c r="B34" s="79"/>
      <c r="C34" s="86"/>
      <c r="D34" s="79"/>
      <c r="E34" s="86"/>
      <c r="F34" s="79"/>
      <c r="G34" s="79"/>
      <c r="H34" s="79"/>
    </row>
    <row r="35" spans="1:8" x14ac:dyDescent="0.3">
      <c r="A35" s="3" t="s">
        <v>211</v>
      </c>
    </row>
    <row r="36" spans="1:8" ht="33.75" customHeight="1" x14ac:dyDescent="0.3">
      <c r="A36" s="96"/>
      <c r="B36" s="241" t="str">
        <f>C13</f>
        <v>Заместитель начальника Департамента управления персоналом</v>
      </c>
      <c r="C36" s="170"/>
      <c r="D36" s="170"/>
      <c r="E36" s="170"/>
      <c r="F36" s="10"/>
      <c r="G36" s="7" t="s">
        <v>212</v>
      </c>
    </row>
    <row r="37" spans="1:8" ht="11.25" customHeight="1" x14ac:dyDescent="0.3">
      <c r="C37" s="5"/>
      <c r="F37" s="23" t="s">
        <v>121</v>
      </c>
    </row>
    <row r="38" spans="1:8" x14ac:dyDescent="0.3">
      <c r="A38" s="3" t="s">
        <v>213</v>
      </c>
      <c r="C38" s="5"/>
      <c r="E38" s="5"/>
    </row>
    <row r="39" spans="1:8" ht="34.5" customHeight="1" x14ac:dyDescent="0.3">
      <c r="A39" s="95"/>
      <c r="B39" s="241" t="str">
        <f>C14</f>
        <v xml:space="preserve">Главный бухгалтер  - начальник Департамента учета и отчетности </v>
      </c>
      <c r="C39" s="170"/>
      <c r="D39" s="170"/>
      <c r="E39" s="170"/>
      <c r="F39" s="10"/>
      <c r="G39" s="251" t="s">
        <v>214</v>
      </c>
      <c r="H39" s="170"/>
    </row>
    <row r="40" spans="1:8" ht="8.25" hidden="1" customHeight="1" x14ac:dyDescent="0.3">
      <c r="A40" s="95"/>
      <c r="B40" s="170"/>
      <c r="C40" s="170"/>
      <c r="D40" s="170"/>
      <c r="E40" s="170"/>
      <c r="F40" s="10"/>
      <c r="G40" s="170"/>
      <c r="H40" s="170"/>
    </row>
    <row r="41" spans="1:8" ht="24.75" customHeight="1" x14ac:dyDescent="0.3">
      <c r="A41" s="95"/>
      <c r="B41" s="241" t="str">
        <f>C15</f>
        <v>Начальник Управления административно-хозяйственного обеспечения</v>
      </c>
      <c r="C41" s="170"/>
      <c r="D41" s="170"/>
      <c r="E41" s="170"/>
      <c r="F41" s="23" t="s">
        <v>121</v>
      </c>
    </row>
    <row r="42" spans="1:8" ht="15.75" customHeight="1" x14ac:dyDescent="0.3">
      <c r="A42" s="95"/>
      <c r="B42" s="170"/>
      <c r="C42" s="170"/>
      <c r="D42" s="170"/>
      <c r="E42" s="170"/>
      <c r="F42" s="72"/>
      <c r="G42" s="7" t="s">
        <v>215</v>
      </c>
    </row>
    <row r="43" spans="1:8" ht="18" customHeight="1" x14ac:dyDescent="0.3">
      <c r="A43" s="82"/>
      <c r="B43" s="82"/>
      <c r="C43" s="82"/>
      <c r="D43" s="82"/>
      <c r="F43" s="23" t="s">
        <v>121</v>
      </c>
    </row>
    <row r="44" spans="1:8" x14ac:dyDescent="0.3">
      <c r="A44" s="5"/>
      <c r="B44" s="5"/>
      <c r="C44" s="5"/>
    </row>
    <row r="45" spans="1:8" x14ac:dyDescent="0.3">
      <c r="A45" s="5"/>
      <c r="B45" s="5"/>
      <c r="C45" s="5"/>
    </row>
    <row r="46" spans="1:8" ht="112.5" customHeight="1" x14ac:dyDescent="0.3">
      <c r="A46" s="5"/>
      <c r="B46" s="5"/>
      <c r="C46" s="5"/>
    </row>
    <row r="47" spans="1:8" x14ac:dyDescent="0.3">
      <c r="A47" s="5"/>
      <c r="B47" s="5"/>
      <c r="C47" s="8"/>
    </row>
    <row r="48" spans="1:8" x14ac:dyDescent="0.3">
      <c r="A48" s="5"/>
      <c r="B48" s="5"/>
      <c r="C48" s="5"/>
    </row>
    <row r="49" spans="1:3" ht="148.5" customHeight="1" x14ac:dyDescent="0.3">
      <c r="A49" s="5"/>
      <c r="B49" s="5"/>
      <c r="C49" s="5"/>
    </row>
    <row r="50" spans="1:3" x14ac:dyDescent="0.3">
      <c r="A50" s="5"/>
      <c r="B50" s="5"/>
      <c r="C50" s="8"/>
    </row>
    <row r="51" spans="1:3" x14ac:dyDescent="0.3">
      <c r="A51" s="5"/>
      <c r="B51" s="5"/>
      <c r="C51" s="5"/>
    </row>
    <row r="52" spans="1:3" x14ac:dyDescent="0.3">
      <c r="A52" s="3"/>
    </row>
  </sheetData>
  <mergeCells count="25">
    <mergeCell ref="B41:E42"/>
    <mergeCell ref="G9:H9"/>
    <mergeCell ref="B39:E40"/>
    <mergeCell ref="F13:H13"/>
    <mergeCell ref="F15:H16"/>
    <mergeCell ref="A24:G24"/>
    <mergeCell ref="C13:E13"/>
    <mergeCell ref="F14:H14"/>
    <mergeCell ref="A15:B16"/>
    <mergeCell ref="A14:B14"/>
    <mergeCell ref="A33:H33"/>
    <mergeCell ref="E21:G21"/>
    <mergeCell ref="A32:H32"/>
    <mergeCell ref="C14:E14"/>
    <mergeCell ref="A20:H20"/>
    <mergeCell ref="B22:D22"/>
    <mergeCell ref="A13:B13"/>
    <mergeCell ref="G39:H40"/>
    <mergeCell ref="B23:D23"/>
    <mergeCell ref="A18:H19"/>
    <mergeCell ref="F2:H2"/>
    <mergeCell ref="F3:H3"/>
    <mergeCell ref="B36:E36"/>
    <mergeCell ref="C15:E16"/>
    <mergeCell ref="B21:D21"/>
  </mergeCells>
  <pageMargins left="0.7" right="0.27" top="0.35" bottom="0.75" header="0.3" footer="0.3"/>
  <pageSetup paperSize="9" scale="81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1:H36"/>
  <sheetViews>
    <sheetView view="pageBreakPreview" zoomScaleNormal="100" zoomScaleSheetLayoutView="100" workbookViewId="0">
      <selection activeCell="F16" sqref="F16:H16"/>
    </sheetView>
  </sheetViews>
  <sheetFormatPr defaultColWidth="9.109375" defaultRowHeight="15.6" x14ac:dyDescent="0.3"/>
  <cols>
    <col min="1" max="1" width="4.109375" style="7" customWidth="1"/>
    <col min="2" max="2" width="7.109375" style="7" customWidth="1"/>
    <col min="3" max="3" width="8.5546875" style="7" customWidth="1"/>
    <col min="4" max="4" width="17.88671875" style="7" customWidth="1"/>
    <col min="5" max="5" width="17.33203125" style="7" customWidth="1"/>
    <col min="6" max="6" width="16.88671875" style="7" customWidth="1"/>
    <col min="7" max="7" width="6.109375" style="7" customWidth="1"/>
    <col min="8" max="8" width="18.5546875" style="7" customWidth="1"/>
    <col min="9" max="12" width="9.109375" style="7" customWidth="1"/>
    <col min="13" max="16384" width="9.109375" style="7"/>
  </cols>
  <sheetData>
    <row r="1" spans="1:8" ht="16.5" customHeight="1" x14ac:dyDescent="0.3">
      <c r="A1" s="1"/>
      <c r="F1" s="7" t="s">
        <v>0</v>
      </c>
    </row>
    <row r="2" spans="1:8" ht="41.25" customHeight="1" x14ac:dyDescent="0.3">
      <c r="A2" s="1"/>
      <c r="F2" s="147" t="str">
        <f>IF(ISBLANK(Лист2!B2),"_",Лист2!B2)</f>
        <v>Заместитель Генерального директора по экономике и финансам</v>
      </c>
      <c r="G2" s="142"/>
      <c r="H2" s="142"/>
    </row>
    <row r="3" spans="1:8" ht="16.5" customHeight="1" x14ac:dyDescent="0.3">
      <c r="A3" s="2"/>
      <c r="F3" s="162" t="str">
        <f>IF(ISBLANK(Лист2!B3),"_",Лист2!B3)</f>
        <v>Акакин Д.В.</v>
      </c>
      <c r="G3" s="142"/>
      <c r="H3" s="142"/>
    </row>
    <row r="4" spans="1:8" ht="32.25" customHeight="1" x14ac:dyDescent="0.3">
      <c r="A4" s="2"/>
      <c r="F4" s="10"/>
      <c r="G4" s="10"/>
    </row>
    <row r="5" spans="1:8" s="31" customFormat="1" ht="16.5" customHeight="1" x14ac:dyDescent="0.3">
      <c r="A5" s="89"/>
      <c r="F5" s="255">
        <f>Лист2!B4</f>
        <v>45945</v>
      </c>
      <c r="G5" s="152"/>
    </row>
    <row r="6" spans="1:8" ht="16.5" customHeight="1" x14ac:dyDescent="0.3">
      <c r="F6" s="6"/>
    </row>
    <row r="7" spans="1:8" ht="16.5" customHeight="1" x14ac:dyDescent="0.3">
      <c r="A7" s="2"/>
      <c r="E7" s="19" t="s">
        <v>51</v>
      </c>
    </row>
    <row r="8" spans="1:8" s="31" customFormat="1" ht="16.5" customHeight="1" x14ac:dyDescent="0.3">
      <c r="A8" s="80"/>
      <c r="D8" s="165" t="s">
        <v>216</v>
      </c>
      <c r="E8" s="164"/>
      <c r="F8" s="164"/>
    </row>
    <row r="9" spans="1:8" ht="16.5" customHeight="1" x14ac:dyDescent="0.3">
      <c r="A9" s="15"/>
      <c r="D9" s="64" t="s">
        <v>217</v>
      </c>
      <c r="E9" s="251" t="str">
        <f>Лист2!B33</f>
        <v>РОССЕТИ</v>
      </c>
      <c r="F9" s="170"/>
      <c r="G9" s="170"/>
      <c r="H9" s="170"/>
    </row>
    <row r="10" spans="1:8" ht="16.5" customHeight="1" x14ac:dyDescent="0.3">
      <c r="A10" s="15"/>
      <c r="E10" s="64"/>
      <c r="F10" s="15"/>
      <c r="G10" s="15"/>
      <c r="H10" s="15"/>
    </row>
    <row r="11" spans="1:8" ht="16.5" customHeight="1" x14ac:dyDescent="0.3">
      <c r="A11" s="67" t="s">
        <v>218</v>
      </c>
      <c r="B11" s="15"/>
      <c r="D11" s="15" t="str">
        <f>Лист2!B17</f>
        <v>М., тверская ,2</v>
      </c>
      <c r="E11" s="64"/>
      <c r="F11" s="15"/>
      <c r="G11" s="15"/>
      <c r="H11" s="15"/>
    </row>
    <row r="12" spans="1:8" ht="16.5" customHeight="1" x14ac:dyDescent="0.3">
      <c r="A12" s="67" t="s">
        <v>104</v>
      </c>
      <c r="B12" s="65"/>
      <c r="D12" s="258" t="str">
        <f>Лист2!D9</f>
        <v>10.10.25</v>
      </c>
      <c r="E12" s="170"/>
      <c r="F12" s="15"/>
      <c r="G12" s="15"/>
      <c r="H12" s="15"/>
    </row>
    <row r="13" spans="1:8" ht="16.5" customHeight="1" x14ac:dyDescent="0.3">
      <c r="A13" s="67"/>
      <c r="B13" s="65"/>
      <c r="D13" s="65"/>
      <c r="E13" s="64"/>
      <c r="F13" s="15"/>
      <c r="G13" s="15"/>
      <c r="H13" s="15"/>
    </row>
    <row r="14" spans="1:8" ht="16.5" customHeight="1" x14ac:dyDescent="0.3">
      <c r="A14" s="3" t="s">
        <v>219</v>
      </c>
      <c r="B14" s="65"/>
      <c r="D14" s="65"/>
      <c r="E14" s="64"/>
      <c r="F14" s="15"/>
      <c r="G14" s="15"/>
      <c r="H14" s="15"/>
    </row>
    <row r="15" spans="1:8" s="31" customFormat="1" ht="31.5" customHeight="1" x14ac:dyDescent="0.3">
      <c r="A15" s="79"/>
      <c r="B15" s="163" t="str">
        <f>Лист2!C5</f>
        <v>Заместитель Генерального директора – Руководитель Аппарата</v>
      </c>
      <c r="C15" s="164"/>
      <c r="D15" s="164"/>
      <c r="E15" s="164"/>
      <c r="F15" s="254" t="str">
        <f>Лист2!B5</f>
        <v>Савин В.О.</v>
      </c>
      <c r="G15" s="142"/>
      <c r="H15" s="142"/>
    </row>
    <row r="16" spans="1:8" s="31" customFormat="1" ht="31.5" customHeight="1" x14ac:dyDescent="0.3">
      <c r="A16" s="79"/>
      <c r="B16" s="163" t="str">
        <f>IF(ISBLANK(Лист2!B37),"-",CONCATENATE(Лист2!B37," ",Лист2!B33))</f>
        <v>директор РОССЕТИ</v>
      </c>
      <c r="C16" s="164"/>
      <c r="D16" s="164"/>
      <c r="E16" s="164"/>
      <c r="F16" s="254" t="str">
        <f>IF(ISBLANK(Лист2!A37),"-",Лист2!A37)</f>
        <v>Иванова И,А.</v>
      </c>
      <c r="G16" s="142"/>
      <c r="H16" s="142"/>
    </row>
    <row r="17" spans="1:8" s="31" customFormat="1" ht="31.5" customHeight="1" x14ac:dyDescent="0.3">
      <c r="A17" s="81"/>
      <c r="B17" s="163" t="str">
        <f>IF(ISBLANK(Лист2!B39),"-",CONCATENATE(Лист2!B39," ",Лист2!B35))</f>
        <v>-</v>
      </c>
      <c r="C17" s="164"/>
      <c r="D17" s="164"/>
      <c r="E17" s="164"/>
      <c r="F17" s="254" t="str">
        <f>IF(ISBLANK(Лист2!A39),"-",Лист2!A39)</f>
        <v>-</v>
      </c>
      <c r="G17" s="142"/>
      <c r="H17" s="142"/>
    </row>
    <row r="18" spans="1:8" s="31" customFormat="1" ht="31.5" customHeight="1" x14ac:dyDescent="0.3">
      <c r="A18" s="81"/>
      <c r="B18" s="163" t="str">
        <f>IF(ISBLANK(Лист2!B40),"-",CONCATENATE(Лист2!B40," ",Лист2!B36))</f>
        <v>-</v>
      </c>
      <c r="C18" s="164"/>
      <c r="D18" s="164"/>
      <c r="E18" s="164"/>
      <c r="F18" s="254" t="str">
        <f>IF(ISBLANK(Лист2!A40),"-",Лист2!A40)</f>
        <v>-</v>
      </c>
      <c r="G18" s="142"/>
      <c r="H18" s="142"/>
    </row>
    <row r="19" spans="1:8" s="31" customFormat="1" ht="31.5" customHeight="1" x14ac:dyDescent="0.3">
      <c r="A19" s="81"/>
      <c r="B19" s="163" t="str">
        <f>IF(ISBLANK(Лист2!B41),"-",CONCATENATE(Лист2!B41," ",Лист2!B37))</f>
        <v>-</v>
      </c>
      <c r="C19" s="164"/>
      <c r="D19" s="164"/>
      <c r="E19" s="164"/>
      <c r="F19" s="254" t="str">
        <f>IF(ISBLANK(Лист2!A41),"-",Лист2!A41)</f>
        <v>-</v>
      </c>
      <c r="G19" s="142"/>
      <c r="H19" s="142"/>
    </row>
    <row r="20" spans="1:8" ht="14.25" customHeight="1" x14ac:dyDescent="0.3">
      <c r="D20" s="3"/>
    </row>
    <row r="21" spans="1:8" ht="16.5" customHeight="1" x14ac:dyDescent="0.3">
      <c r="A21" s="3" t="s">
        <v>220</v>
      </c>
      <c r="D21" s="68"/>
      <c r="E21" s="14"/>
      <c r="F21" s="62"/>
    </row>
    <row r="22" spans="1:8" ht="16.5" customHeight="1" x14ac:dyDescent="0.3">
      <c r="A22" s="251" t="str">
        <f>прогр!D24</f>
        <v>Встреча с партнерами</v>
      </c>
      <c r="B22" s="170"/>
      <c r="C22" s="170"/>
      <c r="D22" s="170"/>
      <c r="E22" s="170"/>
      <c r="F22" s="170"/>
      <c r="G22" s="170"/>
      <c r="H22" s="170"/>
    </row>
    <row r="23" spans="1:8" ht="48" customHeight="1" x14ac:dyDescent="0.3">
      <c r="A23" s="249" t="str">
        <f>прогр!D25</f>
        <v>Проведение встречи с переговорами по теме: «ДОГОВОР»</v>
      </c>
      <c r="B23" s="170"/>
      <c r="C23" s="170"/>
      <c r="D23" s="170"/>
      <c r="E23" s="170"/>
      <c r="F23" s="170"/>
      <c r="G23" s="170"/>
      <c r="H23" s="170"/>
    </row>
    <row r="24" spans="1:8" ht="16.5" customHeight="1" x14ac:dyDescent="0.3">
      <c r="A24" s="251" t="str">
        <f>прогр!D26</f>
        <v>Подведение итогов переговоров</v>
      </c>
      <c r="B24" s="170"/>
      <c r="C24" s="170"/>
      <c r="D24" s="170"/>
      <c r="E24" s="170"/>
      <c r="F24" s="170"/>
      <c r="G24" s="170"/>
      <c r="H24" s="170"/>
    </row>
    <row r="25" spans="1:8" ht="16.5" customHeight="1" x14ac:dyDescent="0.3">
      <c r="A25" s="15"/>
      <c r="B25" s="15"/>
      <c r="C25" s="15"/>
      <c r="D25" s="15"/>
      <c r="E25" s="15"/>
      <c r="F25" s="15"/>
      <c r="G25" s="15"/>
      <c r="H25" s="15"/>
    </row>
    <row r="26" spans="1:8" ht="16.5" customHeight="1" x14ac:dyDescent="0.3">
      <c r="A26" s="7" t="s">
        <v>221</v>
      </c>
    </row>
    <row r="27" spans="1:8" s="73" customFormat="1" ht="52.5" customHeight="1" x14ac:dyDescent="0.3">
      <c r="A27" s="248" t="str">
        <f>Лист2!A44</f>
        <v>СОТРУДНИЧЕСТВО</v>
      </c>
      <c r="B27" s="256"/>
      <c r="C27" s="256"/>
      <c r="D27" s="256"/>
      <c r="E27" s="256"/>
      <c r="F27" s="256"/>
      <c r="G27" s="256"/>
      <c r="H27" s="256"/>
    </row>
    <row r="28" spans="1:8" ht="16.5" customHeight="1" x14ac:dyDescent="0.3"/>
    <row r="29" spans="1:8" ht="32.25" customHeight="1" x14ac:dyDescent="0.3">
      <c r="A29" s="259" t="str">
        <f>CONCATENATE("Во время представительской встречи оплачены расходы на сумму"," ",TEXT(Лист2!A14,"# #0\ руб\.,\ 00\ коп.")," ","(",Лист2!B15,").")</f>
        <v>Во время представительской встречи оплачены расходы на сумму 3 500 руб., 00 коп. (три тысячи пятьсот рублей рублей 00 копеек).</v>
      </c>
      <c r="B29" s="170"/>
      <c r="C29" s="170"/>
      <c r="D29" s="170"/>
      <c r="E29" s="170"/>
      <c r="F29" s="170"/>
      <c r="G29" s="170"/>
      <c r="H29" s="170"/>
    </row>
    <row r="30" spans="1:8" x14ac:dyDescent="0.3">
      <c r="G30" s="257"/>
      <c r="H30" s="170"/>
    </row>
    <row r="31" spans="1:8" x14ac:dyDescent="0.3">
      <c r="A31" s="3" t="s">
        <v>222</v>
      </c>
    </row>
    <row r="32" spans="1:8" x14ac:dyDescent="0.3">
      <c r="B32" s="15" t="str">
        <f>IF(ISBLANK(Лист2!A9),"-",CONCATENATE("Кассовый чек ",Лист2!B9," №",Лист2!C9," от ",TEXT(Лист2!D9,"ДД.ММ.ГГ")))</f>
        <v>Кассовый чек макдак №123 от 10.10.25</v>
      </c>
    </row>
    <row r="33" spans="1:6" x14ac:dyDescent="0.3">
      <c r="B33" s="15" t="str">
        <f>IF(A10=0,"-",CONCATENATE("Кассовый чек ",Лист2!B10," №",Лист2!C10," от ",TEXT(Лист2!D10,"ДД.ММ.ГГ")))</f>
        <v>-</v>
      </c>
    </row>
    <row r="35" spans="1:6" x14ac:dyDescent="0.3">
      <c r="A35" s="7" t="s">
        <v>223</v>
      </c>
      <c r="D35" s="10"/>
      <c r="F35" s="10" t="str">
        <f>Лист2!B5</f>
        <v>Савин В.О.</v>
      </c>
    </row>
    <row r="36" spans="1:6" x14ac:dyDescent="0.3">
      <c r="D36" s="70" t="s">
        <v>98</v>
      </c>
      <c r="F36" s="70" t="s">
        <v>99</v>
      </c>
    </row>
  </sheetData>
  <mergeCells count="22">
    <mergeCell ref="A27:H27"/>
    <mergeCell ref="B18:E18"/>
    <mergeCell ref="G30:H30"/>
    <mergeCell ref="A23:H23"/>
    <mergeCell ref="A22:H22"/>
    <mergeCell ref="F19:H19"/>
    <mergeCell ref="A29:H29"/>
    <mergeCell ref="B19:E19"/>
    <mergeCell ref="F18:H18"/>
    <mergeCell ref="A24:H24"/>
    <mergeCell ref="B15:E15"/>
    <mergeCell ref="F2:H2"/>
    <mergeCell ref="F17:H17"/>
    <mergeCell ref="F5:G5"/>
    <mergeCell ref="B16:E16"/>
    <mergeCell ref="D8:F8"/>
    <mergeCell ref="D12:E12"/>
    <mergeCell ref="F16:H16"/>
    <mergeCell ref="B17:E17"/>
    <mergeCell ref="E9:H9"/>
    <mergeCell ref="F3:H3"/>
    <mergeCell ref="F15:H15"/>
  </mergeCells>
  <pageMargins left="0.7" right="0.7" top="0.75" bottom="0.75" header="0.3" footer="0.3"/>
  <pageSetup paperSize="9" scale="9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4</vt:i4>
      </vt:variant>
    </vt:vector>
  </HeadingPairs>
  <TitlesOfParts>
    <vt:vector size="11" baseType="lpstr">
      <vt:lpstr>Лист2</vt:lpstr>
      <vt:lpstr>Лист1</vt:lpstr>
      <vt:lpstr>смета</vt:lpstr>
      <vt:lpstr>прогр</vt:lpstr>
      <vt:lpstr>АО</vt:lpstr>
      <vt:lpstr>акт</vt:lpstr>
      <vt:lpstr>отчет</vt:lpstr>
      <vt:lpstr>акт!Область_печати</vt:lpstr>
      <vt:lpstr>Лист2!Область_печати</vt:lpstr>
      <vt:lpstr>прогр!Область_печати</vt:lpstr>
      <vt:lpstr>смета!Область_печати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Антипенко Анна Владимировна</dc:creator>
  <cp:lastModifiedBy>79672</cp:lastModifiedBy>
  <cp:lastPrinted>2025-03-06T08:49:34Z</cp:lastPrinted>
  <dcterms:created xsi:type="dcterms:W3CDTF">2024-08-28T13:55:25Z</dcterms:created>
  <dcterms:modified xsi:type="dcterms:W3CDTF">2025-10-12T19:46:33Z</dcterms:modified>
</cp:coreProperties>
</file>